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本对比总表" sheetId="1" state="visible" r:id="rId1"/>
    <sheet xmlns:r="http://schemas.openxmlformats.org/officeDocument/2006/relationships" name="固定单方差异明细分析" sheetId="2" state="visible" r:id="rId2"/>
    <sheet xmlns:r="http://schemas.openxmlformats.org/officeDocument/2006/relationships" name="弹性单方差异明细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00000"/>
      <sz val="16"/>
    </font>
    <font>
      <name val="微软雅黑"/>
      <b val="1"/>
      <color rgb="00000000"/>
      <sz val="9"/>
    </font>
    <font>
      <name val="微软雅黑"/>
      <color rgb="00000000"/>
      <sz val="9"/>
    </font>
    <font>
      <name val="微软雅黑"/>
      <b val="1"/>
      <color rgb="00FFFFFF"/>
      <sz val="14"/>
    </font>
  </fonts>
  <fills count="16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B4C7E7"/>
        <bgColor rgb="00B4C7E7"/>
      </patternFill>
    </fill>
    <fill>
      <patternFill patternType="solid">
        <fgColor rgb="00F4B183"/>
        <bgColor rgb="00F4B183"/>
      </patternFill>
    </fill>
    <fill>
      <patternFill patternType="solid">
        <fgColor rgb="00C6E0B4"/>
        <bgColor rgb="00C6E0B4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F0F7FA"/>
        <bgColor rgb="00F0F7FA"/>
      </patternFill>
    </fill>
  </fills>
  <borders count="5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  <border>
      <left/>
      <right/>
      <top style="thin">
        <color rgb="00D9DEE7"/>
      </top>
      <bottom/>
      <diagonal/>
    </border>
    <border>
      <left/>
      <right style="thin">
        <color rgb="00D9DEE7"/>
      </right>
      <top style="thin">
        <color rgb="00D9DEE7"/>
      </top>
      <bottom/>
      <diagonal/>
    </border>
    <border>
      <left/>
      <right style="thin">
        <color rgb="00D9DEE7"/>
      </right>
      <top style="thin">
        <color rgb="00D9DEE7"/>
      </top>
      <bottom style="thin">
        <color rgb="00D9DEE7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2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2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0" fillId="6" borderId="1" pivotButton="0" quotePrefix="0" xfId="0"/>
    <xf numFmtId="0" fontId="3" fillId="10" borderId="1" applyAlignment="1" pivotButton="0" quotePrefix="0" xfId="0">
      <alignment horizontal="left" vertical="center" wrapText="1"/>
    </xf>
    <xf numFmtId="4" fontId="3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4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4" fontId="3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center" wrapText="1"/>
    </xf>
    <xf numFmtId="4" fontId="3" fillId="13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0" fillId="14" borderId="1" pivotButton="0" quotePrefix="0" xfId="0"/>
    <xf numFmtId="4" fontId="2" fillId="11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wrapText="1"/>
    </xf>
    <xf numFmtId="4" fontId="3" fillId="1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4" fontId="3" fillId="2" borderId="1" applyAlignment="1" pivotButton="0" quotePrefix="0" xfId="0">
      <alignment horizontal="center" vertical="center" wrapText="1"/>
    </xf>
    <xf numFmtId="4" fontId="2" fillId="13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35" customHeight="1">
      <c r="A1" s="1" t="inlineStr">
        <is>
          <t>建安成本对比分析表</t>
        </is>
      </c>
    </row>
    <row r="2" ht="28" customHeight="1">
      <c r="A2" s="2" t="inlineStr">
        <is>
          <t>项目信息</t>
        </is>
      </c>
      <c r="B2" s="2" t="inlineStr">
        <is>
          <t>02.海淀树村地块- | 建筑面积: 129,947㎡ | 可售面积: 72,749㎡</t>
        </is>
      </c>
      <c r="C2" s="3" t="n"/>
      <c r="D2" s="3" t="n"/>
      <c r="E2" s="3" t="n"/>
      <c r="F2" s="3" t="n"/>
      <c r="G2" s="4" t="inlineStr">
        <is>
          <t>摩天轮地块 | 建筑面积: 55,399㎡ | 可售面积: 31,831㎡</t>
        </is>
      </c>
      <c r="H2" s="5" t="n"/>
      <c r="I2" s="5" t="n"/>
      <c r="J2" s="5" t="n"/>
      <c r="K2" s="5" t="n"/>
      <c r="L2" s="6" t="inlineStr">
        <is>
          <t>差额</t>
        </is>
      </c>
      <c r="M2" s="7" t="n"/>
    </row>
    <row r="3" ht="25" customHeight="1">
      <c r="A3" s="8" t="inlineStr">
        <is>
          <t>成本科目</t>
        </is>
      </c>
      <c r="B3" s="9" t="inlineStr">
        <is>
          <t>02.海淀树村地块-</t>
        </is>
      </c>
      <c r="C3" s="10" t="n"/>
      <c r="D3" s="10" t="n"/>
      <c r="E3" s="10" t="n"/>
      <c r="F3" s="10" t="n"/>
      <c r="G3" s="11" t="inlineStr">
        <is>
          <t>摩天轮地块</t>
        </is>
      </c>
      <c r="H3" s="12" t="n"/>
      <c r="I3" s="12" t="n"/>
      <c r="J3" s="12" t="n"/>
      <c r="K3" s="12" t="n"/>
      <c r="L3" s="13" t="inlineStr">
        <is>
          <t>单方差额</t>
        </is>
      </c>
      <c r="M3" s="14" t="n"/>
    </row>
    <row r="4" ht="22" customHeight="1">
      <c r="A4" s="15" t="inlineStr"/>
      <c r="B4" s="9" t="inlineStr">
        <is>
          <t>总价(万元)</t>
        </is>
      </c>
      <c r="C4" s="9" t="inlineStr">
        <is>
          <t>相对建面指标</t>
        </is>
      </c>
      <c r="D4" s="10" t="n"/>
      <c r="E4" s="9" t="inlineStr">
        <is>
          <t>总建面指标</t>
        </is>
      </c>
      <c r="F4" s="10" t="n"/>
      <c r="G4" s="11" t="inlineStr">
        <is>
          <t>总价(万元)</t>
        </is>
      </c>
      <c r="H4" s="11" t="inlineStr">
        <is>
          <t>相对建面指标</t>
        </is>
      </c>
      <c r="J4" s="11" t="inlineStr">
        <is>
          <t>总建面指标</t>
        </is>
      </c>
      <c r="K4" s="12" t="n"/>
      <c r="L4" s="13" t="inlineStr">
        <is>
          <t>相对建面</t>
        </is>
      </c>
      <c r="M4" s="13" t="inlineStr">
        <is>
          <t>总建面</t>
        </is>
      </c>
    </row>
    <row r="5" ht="30" customHeight="1">
      <c r="A5" s="8" t="inlineStr">
        <is>
          <t>成本科目</t>
        </is>
      </c>
      <c r="B5" s="9" t="inlineStr">
        <is>
          <t>总价(万元)</t>
        </is>
      </c>
      <c r="C5" s="9" t="inlineStr">
        <is>
          <t>相对建面(㎡)</t>
        </is>
      </c>
      <c r="D5" s="9" t="inlineStr">
        <is>
          <t>相对建面单价</t>
        </is>
      </c>
      <c r="E5" s="9" t="inlineStr">
        <is>
          <t>总建面(㎡)</t>
        </is>
      </c>
      <c r="F5" s="9" t="inlineStr">
        <is>
          <t>总建面单价</t>
        </is>
      </c>
      <c r="G5" s="11" t="inlineStr">
        <is>
          <t>总价(万元)</t>
        </is>
      </c>
      <c r="H5" s="11" t="inlineStr">
        <is>
          <t>相对建面(㎡)</t>
        </is>
      </c>
      <c r="I5" s="11" t="inlineStr">
        <is>
          <t>相对建面单价</t>
        </is>
      </c>
      <c r="J5" s="11" t="inlineStr">
        <is>
          <t>总建面(㎡)</t>
        </is>
      </c>
      <c r="K5" s="11" t="inlineStr">
        <is>
          <t>总建面单价</t>
        </is>
      </c>
      <c r="L5" s="13" t="inlineStr">
        <is>
          <t>差额(元/㎡)</t>
        </is>
      </c>
      <c r="M5" s="13" t="inlineStr">
        <is>
          <t>差额(元/㎡)</t>
        </is>
      </c>
    </row>
    <row r="6" ht="20" customHeight="1">
      <c r="A6" s="16" t="inlineStr">
        <is>
          <t>前期工程</t>
        </is>
      </c>
      <c r="B6" s="17" t="n">
        <v>389.84</v>
      </c>
      <c r="C6" s="17" t="n">
        <v>129947.34</v>
      </c>
      <c r="D6" s="17" t="n">
        <v>30</v>
      </c>
      <c r="E6" s="17" t="n">
        <v>129947.34</v>
      </c>
      <c r="F6" s="17">
        <f>B6*10000/E6</f>
        <v/>
      </c>
      <c r="G6" s="17" t="n">
        <v>308.607987</v>
      </c>
      <c r="H6" s="17" t="n">
        <v>55399.374</v>
      </c>
      <c r="I6" s="17" t="n">
        <v>55.70604227405168</v>
      </c>
      <c r="J6" s="17" t="n">
        <v>55399.374</v>
      </c>
      <c r="K6" s="17">
        <f>G6*10000/J6</f>
        <v/>
      </c>
      <c r="L6" s="17">
        <f>D6-I6</f>
        <v/>
      </c>
      <c r="M6" s="17">
        <f>F6-K6</f>
        <v/>
      </c>
    </row>
    <row r="7" ht="20" customHeight="1">
      <c r="A7" s="16" t="inlineStr">
        <is>
          <t>桩基础工程</t>
        </is>
      </c>
      <c r="B7" s="17" t="n">
        <v>1917.24</v>
      </c>
      <c r="C7" s="17" t="n">
        <v>129947.34</v>
      </c>
      <c r="D7" s="17" t="n">
        <v>147.54</v>
      </c>
      <c r="E7" s="17" t="n">
        <v>129947.34</v>
      </c>
      <c r="F7" s="17">
        <f>B7*10000/E7</f>
        <v/>
      </c>
      <c r="G7" s="17" t="n">
        <v>650.776446</v>
      </c>
      <c r="H7" s="17" t="n">
        <v>55399.374</v>
      </c>
      <c r="I7" s="17" t="n">
        <v>117.4699999317682</v>
      </c>
      <c r="J7" s="17" t="n">
        <v>55399.374</v>
      </c>
      <c r="K7" s="17">
        <f>G7*10000/J7</f>
        <v/>
      </c>
      <c r="L7" s="17">
        <f>D7-I7</f>
        <v/>
      </c>
      <c r="M7" s="17">
        <f>F7-K7</f>
        <v/>
      </c>
    </row>
    <row r="8" ht="20" customHeight="1">
      <c r="A8" s="16" t="inlineStr">
        <is>
          <t>岩土工程</t>
        </is>
      </c>
      <c r="B8" s="17" t="n">
        <v>6510.03</v>
      </c>
      <c r="C8" s="17" t="n">
        <v>129947.34</v>
      </c>
      <c r="D8" s="17" t="n">
        <v>500.97</v>
      </c>
      <c r="E8" s="17" t="n">
        <v>129947.34</v>
      </c>
      <c r="F8" s="17">
        <f>B8*10000/E8</f>
        <v/>
      </c>
      <c r="G8" s="17" t="n">
        <v>2308.882828</v>
      </c>
      <c r="H8" s="17" t="n">
        <v>55399.374</v>
      </c>
      <c r="I8" s="17" t="n">
        <v>416.7705627865036</v>
      </c>
      <c r="J8" s="17" t="n">
        <v>55399.374</v>
      </c>
      <c r="K8" s="17">
        <f>G8*10000/J8</f>
        <v/>
      </c>
      <c r="L8" s="17">
        <f>D8-I8</f>
        <v/>
      </c>
      <c r="M8" s="17">
        <f>F8-K8</f>
        <v/>
      </c>
    </row>
    <row r="9" ht="20" customHeight="1">
      <c r="A9" s="18" t="inlineStr">
        <is>
          <t>单体工程</t>
        </is>
      </c>
      <c r="B9" s="19" t="n">
        <v>69652.17999999999</v>
      </c>
      <c r="C9" s="19" t="n">
        <v>129947.34</v>
      </c>
      <c r="D9" s="19" t="n">
        <v>5360.03</v>
      </c>
      <c r="E9" s="19" t="n">
        <v>129947.34</v>
      </c>
      <c r="F9" s="19">
        <f>B9*10000/E9</f>
        <v/>
      </c>
      <c r="G9" s="19" t="n">
        <v>26199.844442</v>
      </c>
      <c r="H9" s="19" t="n">
        <v>55399.374</v>
      </c>
      <c r="I9" s="19" t="n">
        <v>4729.267237207409</v>
      </c>
      <c r="J9" s="19" t="n">
        <v>55399.374</v>
      </c>
      <c r="K9" s="19">
        <f>G9*10000/J9</f>
        <v/>
      </c>
      <c r="L9" s="19">
        <f>D9-I9</f>
        <v/>
      </c>
      <c r="M9" s="19">
        <f>F9-K9</f>
        <v/>
      </c>
    </row>
    <row r="10" ht="20" customHeight="1">
      <c r="A10" s="20" t="inlineStr">
        <is>
          <t xml:space="preserve">  地下室其他</t>
        </is>
      </c>
      <c r="B10" s="21" t="n">
        <v>26391.57</v>
      </c>
      <c r="C10" s="21" t="n">
        <v>56647.6</v>
      </c>
      <c r="D10" s="21" t="n">
        <v>4658.9</v>
      </c>
      <c r="E10" s="21" t="n">
        <v>129947.34</v>
      </c>
      <c r="F10" s="21">
        <f>B10*10000/E10</f>
        <v/>
      </c>
      <c r="G10" s="21" t="n">
        <v>12598.182558</v>
      </c>
      <c r="H10" s="21" t="n">
        <v>27824</v>
      </c>
      <c r="I10" s="21" t="n">
        <v>4527.811442639448</v>
      </c>
      <c r="J10" s="21" t="n">
        <v>55399.374</v>
      </c>
      <c r="K10" s="21">
        <f>G10*10000/J10</f>
        <v/>
      </c>
      <c r="L10" s="21">
        <f>D10-I10</f>
        <v/>
      </c>
      <c r="M10" s="21">
        <f>F10-K10</f>
        <v/>
      </c>
    </row>
    <row r="11" ht="20" customHeight="1">
      <c r="A11" s="20" t="inlineStr">
        <is>
          <t xml:space="preserve">  叠拼</t>
        </is>
      </c>
      <c r="B11" s="21" t="n">
        <v>13832.3</v>
      </c>
      <c r="C11" s="21" t="n">
        <v>23142</v>
      </c>
      <c r="D11" s="21" t="n">
        <v>5977.14</v>
      </c>
      <c r="E11" s="21" t="n">
        <v>129947.34</v>
      </c>
      <c r="F11" s="21">
        <f>B11*10000/E11</f>
        <v/>
      </c>
      <c r="G11" s="21" t="n">
        <v>5924.123339</v>
      </c>
      <c r="H11" s="21" t="n">
        <v>13009.144</v>
      </c>
      <c r="I11" s="21" t="n">
        <v>4553.814869756226</v>
      </c>
      <c r="J11" s="21" t="n">
        <v>55399.374</v>
      </c>
      <c r="K11" s="21">
        <f>G11*10000/J11</f>
        <v/>
      </c>
      <c r="L11" s="21">
        <f>D11-I11</f>
        <v/>
      </c>
      <c r="M11" s="21">
        <f>F11-K11</f>
        <v/>
      </c>
    </row>
    <row r="12" ht="20" customHeight="1">
      <c r="A12" s="20" t="inlineStr">
        <is>
          <t xml:space="preserve">  洋房</t>
        </is>
      </c>
      <c r="B12" s="21" t="n">
        <v>28490.81</v>
      </c>
      <c r="C12" s="21" t="n">
        <v>49607.74</v>
      </c>
      <c r="D12" s="21" t="n">
        <v>5743.22</v>
      </c>
      <c r="E12" s="21" t="n">
        <v>129947.34</v>
      </c>
      <c r="F12" s="21">
        <f>B12*10000/E12</f>
        <v/>
      </c>
      <c r="G12" s="21" t="n">
        <v>6662.372784</v>
      </c>
      <c r="H12" s="21" t="n">
        <v>13985.2</v>
      </c>
      <c r="I12" s="21" t="n">
        <v>4763.873798015044</v>
      </c>
      <c r="J12" s="21" t="n">
        <v>55399.374</v>
      </c>
      <c r="K12" s="21">
        <f>G12*10000/J12</f>
        <v/>
      </c>
      <c r="L12" s="21">
        <f>D12-I12</f>
        <v/>
      </c>
      <c r="M12" s="21">
        <f>F12-K12</f>
        <v/>
      </c>
    </row>
    <row r="13" ht="20" customHeight="1">
      <c r="A13" s="20" t="inlineStr">
        <is>
          <t xml:space="preserve">  其他公共配套</t>
        </is>
      </c>
      <c r="B13" s="21" t="n">
        <v>937.5</v>
      </c>
      <c r="C13" s="21" t="n">
        <v>550</v>
      </c>
      <c r="D13" s="21" t="n">
        <v>17045.45</v>
      </c>
      <c r="E13" s="21" t="n">
        <v>129947.34</v>
      </c>
      <c r="F13" s="21">
        <f>B13*10000/E13</f>
        <v/>
      </c>
      <c r="G13" s="21" t="n">
        <v>1015.165761</v>
      </c>
      <c r="H13" s="21" t="n">
        <v>581.03</v>
      </c>
      <c r="I13" s="21" t="n">
        <v>17471.83038741545</v>
      </c>
      <c r="J13" s="21" t="n">
        <v>55399.374</v>
      </c>
      <c r="K13" s="21">
        <f>G13*10000/J13</f>
        <v/>
      </c>
      <c r="L13" s="21">
        <f>D13-I13</f>
        <v/>
      </c>
      <c r="M13" s="21">
        <f>F13-K13</f>
        <v/>
      </c>
    </row>
    <row r="14" ht="20" customHeight="1">
      <c r="A14" s="16" t="inlineStr">
        <is>
          <t>配套工程</t>
        </is>
      </c>
      <c r="B14" s="17" t="n">
        <v>4962.04</v>
      </c>
      <c r="C14" s="17" t="n">
        <v>129947.34</v>
      </c>
      <c r="D14" s="17" t="n">
        <v>381.85</v>
      </c>
      <c r="E14" s="17" t="n">
        <v>129947.34</v>
      </c>
      <c r="F14" s="17">
        <f>B14*10000/E14</f>
        <v/>
      </c>
      <c r="G14" s="17" t="n">
        <v>2382.436479</v>
      </c>
      <c r="H14" s="17" t="n">
        <v>55399.374</v>
      </c>
      <c r="I14" s="17" t="n">
        <v>430.0475451220802</v>
      </c>
      <c r="J14" s="17" t="n">
        <v>55399.374</v>
      </c>
      <c r="K14" s="17">
        <f>G14*10000/J14</f>
        <v/>
      </c>
      <c r="L14" s="17">
        <f>D14-I14</f>
        <v/>
      </c>
      <c r="M14" s="17">
        <f>F14-K14</f>
        <v/>
      </c>
    </row>
    <row r="15" ht="20" customHeight="1">
      <c r="A15" s="16" t="inlineStr">
        <is>
          <t>室外工程</t>
        </is>
      </c>
      <c r="B15" s="17" t="n">
        <v>3822.93</v>
      </c>
      <c r="C15" s="17" t="n">
        <v>129947.34</v>
      </c>
      <c r="D15" s="17" t="n">
        <v>1550.33</v>
      </c>
      <c r="E15" s="17" t="n">
        <v>129947.34</v>
      </c>
      <c r="F15" s="17">
        <f>B15*10000/E15</f>
        <v/>
      </c>
      <c r="G15" s="17" t="n">
        <v>1526.1105</v>
      </c>
      <c r="H15" s="17" t="n">
        <v>55399.374</v>
      </c>
      <c r="I15" s="17" t="n">
        <v>1500</v>
      </c>
      <c r="J15" s="17" t="n">
        <v>55399.374</v>
      </c>
      <c r="K15" s="17">
        <f>G15*10000/J15</f>
        <v/>
      </c>
      <c r="L15" s="17">
        <f>D15-I15</f>
        <v/>
      </c>
      <c r="M15" s="17">
        <f>F15-K15</f>
        <v/>
      </c>
    </row>
    <row r="16" ht="20" customHeight="1">
      <c r="A16" s="18" t="inlineStr">
        <is>
          <t>户内装饰工程</t>
        </is>
      </c>
      <c r="B16" s="19" t="n">
        <v>48321.54</v>
      </c>
      <c r="C16" s="19" t="n">
        <v>129947.34</v>
      </c>
      <c r="D16" s="19" t="n">
        <v>6642.16</v>
      </c>
      <c r="E16" s="19" t="n">
        <v>129947.34</v>
      </c>
      <c r="F16" s="19">
        <f>B16*10000/E16</f>
        <v/>
      </c>
      <c r="G16" s="19" t="n">
        <v>12274.672</v>
      </c>
      <c r="H16" s="19" t="n">
        <v>55399.374</v>
      </c>
      <c r="I16" s="19" t="n">
        <v>5000</v>
      </c>
      <c r="J16" s="19" t="n">
        <v>55399.374</v>
      </c>
      <c r="K16" s="19">
        <f>G16*10000/J16</f>
        <v/>
      </c>
      <c r="L16" s="19">
        <f>D16-I16</f>
        <v/>
      </c>
      <c r="M16" s="19">
        <f>F16-K16</f>
        <v/>
      </c>
    </row>
    <row r="17" ht="20" customHeight="1">
      <c r="A17" s="20" t="inlineStr">
        <is>
          <t xml:space="preserve">  叠拼</t>
        </is>
      </c>
      <c r="B17" s="21" t="n">
        <v>18556.9</v>
      </c>
      <c r="C17" s="21" t="n">
        <v>23142</v>
      </c>
      <c r="D17" s="21" t="n">
        <v>8018.71</v>
      </c>
      <c r="E17" s="21" t="n">
        <v>129947.34</v>
      </c>
      <c r="F17" s="21">
        <f>B17*10000/E17</f>
        <v/>
      </c>
      <c r="G17" s="21" t="n">
        <v>6504.572</v>
      </c>
      <c r="H17" s="21" t="n">
        <v>13009.144</v>
      </c>
      <c r="I17" s="21" t="n">
        <v>5000</v>
      </c>
      <c r="J17" s="21" t="n">
        <v>55399.374</v>
      </c>
      <c r="K17" s="21">
        <f>G17*10000/J17</f>
        <v/>
      </c>
      <c r="L17" s="21">
        <f>D17-I17</f>
        <v/>
      </c>
      <c r="M17" s="21">
        <f>F17-K17</f>
        <v/>
      </c>
    </row>
    <row r="18" ht="20" customHeight="1">
      <c r="A18" s="20" t="inlineStr">
        <is>
          <t xml:space="preserve">  洋房</t>
        </is>
      </c>
      <c r="B18" s="21" t="n">
        <v>29764.64</v>
      </c>
      <c r="C18" s="21" t="n">
        <v>49607.74</v>
      </c>
      <c r="D18" s="21" t="n">
        <v>6000</v>
      </c>
      <c r="E18" s="21" t="n">
        <v>129947.34</v>
      </c>
      <c r="F18" s="21">
        <f>B18*10000/E18</f>
        <v/>
      </c>
      <c r="G18" s="21" t="n">
        <v>5770.1</v>
      </c>
      <c r="H18" s="21" t="n">
        <v>11540.2</v>
      </c>
      <c r="I18" s="21" t="n">
        <v>5000</v>
      </c>
      <c r="J18" s="21" t="n">
        <v>55399.374</v>
      </c>
      <c r="K18" s="21">
        <f>G18*10000/J18</f>
        <v/>
      </c>
      <c r="L18" s="21">
        <f>D18-I18</f>
        <v/>
      </c>
      <c r="M18" s="21">
        <f>F18-K18</f>
        <v/>
      </c>
    </row>
    <row r="19" ht="20" customHeight="1">
      <c r="A19" s="16" t="inlineStr">
        <is>
          <t>基础设施工程</t>
        </is>
      </c>
      <c r="B19" s="17" t="n">
        <v>0</v>
      </c>
      <c r="C19" s="17" t="n">
        <v>129947.34</v>
      </c>
      <c r="D19" s="17" t="n">
        <v>0</v>
      </c>
      <c r="E19" s="17" t="n">
        <v>129947.34</v>
      </c>
      <c r="F19" s="17">
        <f>B19*10000/E19</f>
        <v/>
      </c>
      <c r="G19" s="17" t="n">
        <v>0</v>
      </c>
      <c r="H19" s="17" t="n">
        <v>55399.374</v>
      </c>
      <c r="I19" s="17" t="n">
        <v>0</v>
      </c>
      <c r="J19" s="17" t="n">
        <v>55399.374</v>
      </c>
      <c r="K19" s="17">
        <f>G19*10000/J19</f>
        <v/>
      </c>
      <c r="L19" s="17">
        <f>D19-I19</f>
        <v/>
      </c>
      <c r="M19" s="17">
        <f>F19-K19</f>
        <v/>
      </c>
    </row>
    <row r="20" ht="20" customHeight="1">
      <c r="A20" s="16" t="inlineStr">
        <is>
          <t>卖场包装费用</t>
        </is>
      </c>
      <c r="B20" s="17" t="n">
        <v>3943.98</v>
      </c>
      <c r="C20" s="17" t="n">
        <v>129947.34</v>
      </c>
      <c r="D20" s="17" t="n">
        <v>303.51</v>
      </c>
      <c r="E20" s="17" t="n">
        <v>129947.34</v>
      </c>
      <c r="F20" s="17">
        <f>B20*10000/E20</f>
        <v/>
      </c>
      <c r="G20" s="17" t="n">
        <v>4557.945669</v>
      </c>
      <c r="H20" s="17" t="n">
        <v>55399.374</v>
      </c>
      <c r="I20" s="17" t="n">
        <v>822.7431719715821</v>
      </c>
      <c r="J20" s="17" t="n">
        <v>55399.374</v>
      </c>
      <c r="K20" s="17">
        <f>G20*10000/J20</f>
        <v/>
      </c>
      <c r="L20" s="17">
        <f>D20-I20</f>
        <v/>
      </c>
      <c r="M20" s="17">
        <f>F20-K20</f>
        <v/>
      </c>
    </row>
    <row r="21" ht="20" customHeight="1">
      <c r="A21" s="22" t="inlineStr">
        <is>
          <t>合计-毛坯</t>
        </is>
      </c>
      <c r="B21" s="23" t="n">
        <v>87254.25999999999</v>
      </c>
      <c r="C21" s="23" t="n">
        <v>129947.34</v>
      </c>
      <c r="D21" s="23" t="n">
        <v>6714.59</v>
      </c>
      <c r="E21" s="23" t="n">
        <v>129947.34</v>
      </c>
      <c r="F21" s="23">
        <f>B21*10000/E21</f>
        <v/>
      </c>
      <c r="G21" s="23" t="n">
        <v>33376.658682</v>
      </c>
      <c r="H21" s="23" t="n">
        <v>55399.374</v>
      </c>
      <c r="I21" s="23" t="n">
        <v>6024.735709468486</v>
      </c>
      <c r="J21" s="23" t="n">
        <v>55399.374</v>
      </c>
      <c r="K21" s="23">
        <f>G21*10000/J21</f>
        <v/>
      </c>
      <c r="L21" s="23">
        <f>D21-I21</f>
        <v/>
      </c>
      <c r="M21" s="23">
        <f>F21-K21</f>
        <v/>
      </c>
    </row>
    <row r="22" ht="20" customHeight="1">
      <c r="A22" s="22" t="inlineStr">
        <is>
          <t>总建安成本</t>
        </is>
      </c>
      <c r="B22" s="23" t="n">
        <v>139519.78</v>
      </c>
      <c r="C22" s="23" t="n">
        <v>129947.34</v>
      </c>
      <c r="D22" s="23" t="n">
        <v>10736.63993429954</v>
      </c>
      <c r="E22" s="23" t="n">
        <v>129947.34</v>
      </c>
      <c r="F22" s="23">
        <f>B22*10000/E22</f>
        <v/>
      </c>
      <c r="G22" s="23" t="n">
        <v>50209.276351</v>
      </c>
      <c r="H22" s="23" t="n">
        <v>55399.374</v>
      </c>
      <c r="I22" s="23" t="n">
        <v>9063.148683051906</v>
      </c>
      <c r="J22" s="23" t="n">
        <v>55399.374</v>
      </c>
      <c r="K22" s="23">
        <f>G22*10000/J22</f>
        <v/>
      </c>
      <c r="L22" s="23">
        <f>D22-I22</f>
        <v/>
      </c>
      <c r="M22" s="23">
        <f>F22-K22</f>
        <v/>
      </c>
    </row>
  </sheetData>
  <mergeCells count="11">
    <mergeCell ref="L2:M2"/>
    <mergeCell ref="G3:K3"/>
    <mergeCell ref="L3:M3"/>
    <mergeCell ref="E4:F4"/>
    <mergeCell ref="J4:K4"/>
    <mergeCell ref="A1:M1"/>
    <mergeCell ref="B2:F2"/>
    <mergeCell ref="G2:K2"/>
    <mergeCell ref="B3:F3"/>
    <mergeCell ref="H4:I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0" customHeight="1">
      <c r="A1" s="24" t="inlineStr">
        <is>
          <t>固定单方差异明细分析</t>
        </is>
      </c>
    </row>
    <row r="2" ht="25" customHeight="1">
      <c r="A2" s="8" t="inlineStr">
        <is>
          <t>成本科目</t>
        </is>
      </c>
      <c r="B2" s="2" t="inlineStr">
        <is>
          <t>项目A：02.海淀树村地块-</t>
        </is>
      </c>
      <c r="C2" s="3" t="n"/>
      <c r="D2" s="3" t="n"/>
      <c r="E2" s="4" t="inlineStr">
        <is>
          <t>项目B：摩天轮地块</t>
        </is>
      </c>
      <c r="F2" s="5" t="n"/>
      <c r="G2" s="5" t="n"/>
      <c r="H2" s="6" t="inlineStr">
        <is>
          <t>差异分析</t>
        </is>
      </c>
      <c r="I2" s="7" t="n"/>
      <c r="J2" s="7" t="n"/>
    </row>
    <row r="3" ht="35" customHeight="1">
      <c r="A3" s="8" t="inlineStr">
        <is>
          <t>科目/明细</t>
        </is>
      </c>
      <c r="B3" s="9" t="inlineStr">
        <is>
          <t>项目A-单方</t>
        </is>
      </c>
      <c r="C3" s="9" t="inlineStr">
        <is>
          <t>项目A-含量</t>
        </is>
      </c>
      <c r="D3" s="9" t="inlineStr">
        <is>
          <t>项目A-单价(元)</t>
        </is>
      </c>
      <c r="E3" s="11" t="inlineStr">
        <is>
          <t>项目B-单方</t>
        </is>
      </c>
      <c r="F3" s="11" t="inlineStr">
        <is>
          <t>项目B-含量</t>
        </is>
      </c>
      <c r="G3" s="11" t="inlineStr">
        <is>
          <t>项目B-单价(元)</t>
        </is>
      </c>
      <c r="H3" s="13" t="inlineStr">
        <is>
          <t>单方差异</t>
        </is>
      </c>
      <c r="I3" s="13" t="inlineStr">
        <is>
          <t>价格差异影响</t>
        </is>
      </c>
      <c r="J3" s="13" t="inlineStr">
        <is>
          <t>含量差异影响</t>
        </is>
      </c>
    </row>
    <row r="4" ht="25" customHeight="1">
      <c r="A4" s="25" t="inlineStr">
        <is>
          <t>地下室其他 VS 地下室其他</t>
        </is>
      </c>
      <c r="B4" s="26" t="n"/>
      <c r="C4" s="26" t="n"/>
      <c r="D4" s="26" t="n"/>
      <c r="E4" s="26" t="n"/>
      <c r="F4" s="26" t="n"/>
      <c r="G4" s="26" t="n"/>
      <c r="H4" s="26" t="n"/>
      <c r="I4" s="26" t="n"/>
      <c r="J4" s="26" t="n"/>
    </row>
    <row r="5" ht="20" customHeight="1">
      <c r="A5" s="18" t="inlineStr">
        <is>
          <t>建筑工程</t>
        </is>
      </c>
      <c r="B5" s="27" t="n">
        <v>2874.53</v>
      </c>
      <c r="C5" s="27" t="n">
        <v>0</v>
      </c>
      <c r="D5" s="27" t="n">
        <v>0</v>
      </c>
      <c r="E5" s="27" t="n">
        <v>2115.57</v>
      </c>
      <c r="F5" s="27" t="n">
        <v>0</v>
      </c>
      <c r="G5" s="27" t="n">
        <v>0</v>
      </c>
      <c r="H5" s="27">
        <f>B5-E5</f>
        <v/>
      </c>
      <c r="I5" s="27">
        <f>(D5-G5)*C5</f>
        <v/>
      </c>
      <c r="J5" s="27">
        <f>G5*(C5-F5)</f>
        <v/>
      </c>
    </row>
    <row r="6" ht="20" customHeight="1">
      <c r="A6" s="28" t="inlineStr">
        <is>
          <t xml:space="preserve">  钢筋工程</t>
        </is>
      </c>
      <c r="B6" s="29" t="n">
        <v>918.08</v>
      </c>
      <c r="C6" s="29" t="n">
        <v>152</v>
      </c>
      <c r="D6" s="29" t="n">
        <v>6.04</v>
      </c>
      <c r="E6" s="29" t="n">
        <v>805.05</v>
      </c>
      <c r="F6" s="29" t="n">
        <v>160</v>
      </c>
      <c r="G6" s="29" t="n">
        <v>5.0315625</v>
      </c>
      <c r="H6" s="29">
        <f>B6-E6</f>
        <v/>
      </c>
      <c r="I6" s="29">
        <f>(D6-G6)*C6</f>
        <v/>
      </c>
      <c r="J6" s="29">
        <f>G6*(C6-F6)</f>
        <v/>
      </c>
    </row>
    <row r="7" ht="20" customHeight="1">
      <c r="A7" s="28" t="inlineStr">
        <is>
          <t xml:space="preserve">  模板工程</t>
        </is>
      </c>
      <c r="B7" s="29" t="n">
        <v>411.6101</v>
      </c>
      <c r="C7" s="29" t="n">
        <v>3.83</v>
      </c>
      <c r="D7" s="29" t="n">
        <v>107.47</v>
      </c>
      <c r="E7" s="29" t="n">
        <v>196.8192</v>
      </c>
      <c r="F7" s="29" t="n">
        <v>2.72</v>
      </c>
      <c r="G7" s="29" t="n">
        <v>72.36</v>
      </c>
      <c r="H7" s="29">
        <f>B7-E7</f>
        <v/>
      </c>
      <c r="I7" s="29">
        <f>(D7-G7)*C7</f>
        <v/>
      </c>
      <c r="J7" s="29">
        <f>G7*(C7-F7)</f>
        <v/>
      </c>
    </row>
    <row r="8" ht="20" customHeight="1">
      <c r="A8" s="28" t="inlineStr">
        <is>
          <t xml:space="preserve">  混凝土工程</t>
        </is>
      </c>
      <c r="B8" s="29" t="n">
        <v>621.24</v>
      </c>
      <c r="C8" s="29" t="n">
        <v>1.24</v>
      </c>
      <c r="D8" s="29" t="n">
        <v>501</v>
      </c>
      <c r="E8" s="29" t="n">
        <v>590.85</v>
      </c>
      <c r="F8" s="29" t="n">
        <v>1.284</v>
      </c>
      <c r="G8" s="29" t="n">
        <v>460.1635514018691</v>
      </c>
      <c r="H8" s="29">
        <f>B8-E8</f>
        <v/>
      </c>
      <c r="I8" s="29">
        <f>(D8-G8)*C8</f>
        <v/>
      </c>
      <c r="J8" s="29">
        <f>G8*(C8-F8)</f>
        <v/>
      </c>
    </row>
    <row r="9" ht="20" customHeight="1">
      <c r="A9" s="28" t="inlineStr">
        <is>
          <t xml:space="preserve">  砌筑工程</t>
        </is>
      </c>
      <c r="B9" s="29" t="n">
        <v>73.60000000000001</v>
      </c>
      <c r="C9" s="29" t="n">
        <v>0.08</v>
      </c>
      <c r="D9" s="29" t="n">
        <v>920</v>
      </c>
      <c r="E9" s="29" t="n">
        <v>25.92</v>
      </c>
      <c r="F9" s="29" t="n">
        <v>0.04</v>
      </c>
      <c r="G9" s="29" t="n">
        <v>648</v>
      </c>
      <c r="H9" s="29">
        <f>B9-E9</f>
        <v/>
      </c>
      <c r="I9" s="29">
        <f>(D9-G9)*C9</f>
        <v/>
      </c>
      <c r="J9" s="29">
        <f>G9*(C9-F9)</f>
        <v/>
      </c>
    </row>
    <row r="10" ht="20" customHeight="1">
      <c r="A10" s="28" t="inlineStr">
        <is>
          <t xml:space="preserve">  粗装修工程</t>
        </is>
      </c>
      <c r="B10" s="29" t="n">
        <v>400</v>
      </c>
      <c r="C10" s="29" t="n">
        <v>0</v>
      </c>
      <c r="D10" s="29" t="n">
        <v>0</v>
      </c>
      <c r="E10" s="29" t="n">
        <v>177.48</v>
      </c>
      <c r="F10" s="29" t="n">
        <v>0</v>
      </c>
      <c r="G10" s="29" t="n">
        <v>0</v>
      </c>
      <c r="H10" s="29">
        <f>B10-E10</f>
        <v/>
      </c>
      <c r="I10" s="29">
        <f>(D10-G10)*C10</f>
        <v/>
      </c>
      <c r="J10" s="29">
        <f>G10*(C10-F10)</f>
        <v/>
      </c>
    </row>
    <row r="11" ht="20" customHeight="1">
      <c r="A11" s="28" t="inlineStr">
        <is>
          <t xml:space="preserve">  保温工程</t>
        </is>
      </c>
      <c r="B11" s="29" t="n">
        <v>0</v>
      </c>
      <c r="C11" s="29" t="n">
        <v>1</v>
      </c>
      <c r="D11" s="29" t="n">
        <v>0</v>
      </c>
      <c r="E11" s="29" t="n">
        <v>0</v>
      </c>
      <c r="F11" s="29" t="n">
        <v>1</v>
      </c>
      <c r="G11" s="29" t="n">
        <v>0</v>
      </c>
      <c r="H11" s="29">
        <f>B11-E11</f>
        <v/>
      </c>
      <c r="I11" s="29">
        <f>(D11-G11)*C11</f>
        <v/>
      </c>
      <c r="J11" s="29">
        <f>G11*(C11-F11)</f>
        <v/>
      </c>
    </row>
    <row r="12" ht="20" customHeight="1">
      <c r="A12" s="28" t="inlineStr">
        <is>
          <t xml:space="preserve">  其他建筑工程</t>
        </is>
      </c>
      <c r="B12" s="29" t="n">
        <v>0</v>
      </c>
      <c r="C12" s="29" t="n">
        <v>0</v>
      </c>
      <c r="D12" s="29" t="n">
        <v>0</v>
      </c>
      <c r="E12" s="29" t="n">
        <v>29.33</v>
      </c>
      <c r="F12" s="29" t="n">
        <v>0</v>
      </c>
      <c r="G12" s="29" t="n">
        <v>0</v>
      </c>
      <c r="H12" s="29">
        <f>B12-E12</f>
        <v/>
      </c>
      <c r="I12" s="29">
        <f>(D12-G12)*C12</f>
        <v/>
      </c>
      <c r="J12" s="29">
        <f>G12*(C12-F12)</f>
        <v/>
      </c>
    </row>
    <row r="13" ht="20" customHeight="1">
      <c r="A13" s="28" t="inlineStr">
        <is>
          <t xml:space="preserve">  开办费</t>
        </is>
      </c>
      <c r="B13" s="29" t="n">
        <v>450</v>
      </c>
      <c r="C13" s="29" t="n">
        <v>18.56</v>
      </c>
      <c r="D13" s="29" t="n">
        <v>450</v>
      </c>
      <c r="E13" s="29" t="n">
        <v>290.13</v>
      </c>
      <c r="F13" s="29" t="n">
        <v>15.89359968735489</v>
      </c>
      <c r="G13" s="29" t="n">
        <v>290.1288</v>
      </c>
      <c r="H13" s="29">
        <f>B13-E13</f>
        <v/>
      </c>
      <c r="I13" s="29">
        <f>(D13-G13)*C13</f>
        <v/>
      </c>
      <c r="J13" s="29">
        <f>G13*(C13-F13)</f>
        <v/>
      </c>
    </row>
    <row r="14" ht="20" customHeight="1">
      <c r="A14" s="20" t="inlineStr">
        <is>
          <t>人防工程</t>
        </is>
      </c>
      <c r="B14" s="21" t="n">
        <v>21.25</v>
      </c>
      <c r="C14" s="21" t="n">
        <v>0</v>
      </c>
      <c r="D14" s="21" t="n">
        <v>0</v>
      </c>
      <c r="E14" s="21" t="n">
        <v>18.15</v>
      </c>
      <c r="F14" s="21" t="n">
        <v>0</v>
      </c>
      <c r="G14" s="21" t="n">
        <v>0</v>
      </c>
      <c r="H14" s="21">
        <f>B14-E14</f>
        <v/>
      </c>
      <c r="I14" s="21">
        <f>(D14-G14)*C14</f>
        <v/>
      </c>
      <c r="J14" s="21">
        <f>G14*(C14-F14)</f>
        <v/>
      </c>
    </row>
    <row r="15" ht="20" customHeight="1">
      <c r="A15" s="30" t="inlineStr">
        <is>
          <t>防水工程</t>
        </is>
      </c>
      <c r="B15" s="31" t="n">
        <v>129.47</v>
      </c>
      <c r="C15" s="31" t="n">
        <v>0</v>
      </c>
      <c r="D15" s="31" t="n">
        <v>0</v>
      </c>
      <c r="E15" s="31" t="n">
        <v>158.75</v>
      </c>
      <c r="F15" s="31" t="n">
        <v>0</v>
      </c>
      <c r="G15" s="31" t="n">
        <v>0</v>
      </c>
      <c r="H15" s="31">
        <f>B15-E15</f>
        <v/>
      </c>
      <c r="I15" s="31">
        <f>(D15-G15)*C15</f>
        <v/>
      </c>
      <c r="J15" s="31">
        <f>G15*(C15-F15)</f>
        <v/>
      </c>
    </row>
    <row r="16" ht="20" customHeight="1">
      <c r="A16" s="20" t="inlineStr">
        <is>
          <t>防火门工程</t>
        </is>
      </c>
      <c r="B16" s="21" t="n">
        <v>25</v>
      </c>
      <c r="C16" s="21" t="n">
        <v>0</v>
      </c>
      <c r="D16" s="21" t="n">
        <v>0</v>
      </c>
      <c r="E16" s="21" t="n">
        <v>49.02</v>
      </c>
      <c r="F16" s="21" t="n">
        <v>0</v>
      </c>
      <c r="G16" s="21" t="n">
        <v>0</v>
      </c>
      <c r="H16" s="21">
        <f>B16-E16</f>
        <v/>
      </c>
      <c r="I16" s="21">
        <f>(D16-G16)*C16</f>
        <v/>
      </c>
      <c r="J16" s="21">
        <f>G16*(C16-F16)</f>
        <v/>
      </c>
    </row>
    <row r="17" ht="20" customHeight="1">
      <c r="A17" s="30" t="inlineStr">
        <is>
          <t>常规机电工程</t>
        </is>
      </c>
      <c r="B17" s="31" t="n">
        <v>590.88</v>
      </c>
      <c r="C17" s="31" t="n">
        <v>0</v>
      </c>
      <c r="D17" s="31" t="n">
        <v>0</v>
      </c>
      <c r="E17" s="31" t="n">
        <v>265.14</v>
      </c>
      <c r="F17" s="31" t="n">
        <v>0</v>
      </c>
      <c r="G17" s="31" t="n">
        <v>0</v>
      </c>
      <c r="H17" s="31">
        <f>B17-E17</f>
        <v/>
      </c>
      <c r="I17" s="31">
        <f>(D17-G17)*C17</f>
        <v/>
      </c>
      <c r="J17" s="31">
        <f>G17*(C17-F17)</f>
        <v/>
      </c>
    </row>
    <row r="18" ht="20" customHeight="1">
      <c r="A18" s="20" t="inlineStr">
        <is>
          <t>消防工程</t>
        </is>
      </c>
      <c r="B18" s="21" t="n">
        <v>120</v>
      </c>
      <c r="C18" s="21" t="n">
        <v>0</v>
      </c>
      <c r="D18" s="21" t="n">
        <v>0</v>
      </c>
      <c r="E18" s="21" t="n">
        <v>168.41</v>
      </c>
      <c r="F18" s="21" t="n">
        <v>0</v>
      </c>
      <c r="G18" s="21" t="n">
        <v>0</v>
      </c>
      <c r="H18" s="21">
        <f>B18-E18</f>
        <v/>
      </c>
      <c r="I18" s="21">
        <f>(D18-G18)*C18</f>
        <v/>
      </c>
      <c r="J18" s="21">
        <f>G18*(C18-F18)</f>
        <v/>
      </c>
    </row>
    <row r="19" ht="20" customHeight="1">
      <c r="A19" s="30" t="inlineStr">
        <is>
          <t>大堂门工程</t>
        </is>
      </c>
      <c r="B19" s="31" t="n">
        <v>40.27</v>
      </c>
      <c r="C19" s="31" t="n">
        <v>0</v>
      </c>
      <c r="D19" s="31" t="n">
        <v>0</v>
      </c>
      <c r="E19" s="31" t="n">
        <v>10.78</v>
      </c>
      <c r="F19" s="31" t="n">
        <v>0</v>
      </c>
      <c r="G19" s="31" t="n">
        <v>0</v>
      </c>
      <c r="H19" s="31">
        <f>B19-E19</f>
        <v/>
      </c>
      <c r="I19" s="31">
        <f>(D19-G19)*C19</f>
        <v/>
      </c>
      <c r="J19" s="31">
        <f>G19*(C19-F19)</f>
        <v/>
      </c>
    </row>
    <row r="20" ht="20" customHeight="1">
      <c r="A20" s="20" t="inlineStr">
        <is>
          <t>地坪处理工程</t>
        </is>
      </c>
      <c r="B20" s="21" t="n">
        <v>37.95</v>
      </c>
      <c r="C20" s="21" t="n">
        <v>0</v>
      </c>
      <c r="D20" s="21" t="n">
        <v>0</v>
      </c>
      <c r="E20" s="21" t="n">
        <v>31.74</v>
      </c>
      <c r="F20" s="21" t="n">
        <v>0</v>
      </c>
      <c r="G20" s="21" t="n">
        <v>0</v>
      </c>
      <c r="H20" s="21">
        <f>B20-E20</f>
        <v/>
      </c>
      <c r="I20" s="21">
        <f>(D20-G20)*C20</f>
        <v/>
      </c>
      <c r="J20" s="21">
        <f>G20*(C20-F20)</f>
        <v/>
      </c>
    </row>
    <row r="21" ht="20" customHeight="1">
      <c r="A21" s="30" t="inlineStr">
        <is>
          <t>交通标识工程</t>
        </is>
      </c>
      <c r="B21" s="31" t="n">
        <v>21.97</v>
      </c>
      <c r="C21" s="31" t="n">
        <v>0</v>
      </c>
      <c r="D21" s="31" t="n">
        <v>0</v>
      </c>
      <c r="E21" s="31" t="n">
        <v>12.12</v>
      </c>
      <c r="F21" s="31" t="n">
        <v>0</v>
      </c>
      <c r="G21" s="31" t="n">
        <v>0</v>
      </c>
      <c r="H21" s="31">
        <f>B21-E21</f>
        <v/>
      </c>
      <c r="I21" s="31">
        <f>(D21-G21)*C21</f>
        <v/>
      </c>
      <c r="J21" s="31">
        <f>G21*(C21-F21)</f>
        <v/>
      </c>
    </row>
    <row r="22" ht="20" customHeight="1">
      <c r="A22" s="20" t="inlineStr">
        <is>
          <t>停车场管理系统</t>
        </is>
      </c>
      <c r="B22" s="21" t="n">
        <v>0.88</v>
      </c>
      <c r="C22" s="21" t="n">
        <v>0</v>
      </c>
      <c r="D22" s="21" t="n">
        <v>0</v>
      </c>
      <c r="E22" s="21" t="n">
        <v>6.34</v>
      </c>
      <c r="F22" s="21" t="n">
        <v>0</v>
      </c>
      <c r="G22" s="21" t="n">
        <v>0</v>
      </c>
      <c r="H22" s="21">
        <f>B22-E22</f>
        <v/>
      </c>
      <c r="I22" s="21">
        <f>(D22-G22)*C22</f>
        <v/>
      </c>
      <c r="J22" s="21">
        <f>G22*(C22-F22)</f>
        <v/>
      </c>
    </row>
    <row r="23" ht="20" customHeight="1">
      <c r="A23" s="30" t="inlineStr">
        <is>
          <t>其他装饰工程</t>
        </is>
      </c>
      <c r="B23" s="31" t="n">
        <v>453.68</v>
      </c>
      <c r="C23" s="31" t="n">
        <v>0</v>
      </c>
      <c r="D23" s="31" t="n">
        <v>0</v>
      </c>
      <c r="E23" s="31" t="n">
        <v>0</v>
      </c>
      <c r="F23" s="31" t="n">
        <v>0</v>
      </c>
      <c r="G23" s="31" t="n">
        <v>0</v>
      </c>
      <c r="H23" s="31">
        <f>B23-E23</f>
        <v/>
      </c>
      <c r="I23" s="31">
        <f>(D23-G23)*C23</f>
        <v/>
      </c>
      <c r="J23" s="31">
        <f>G23*(C23-F23)</f>
        <v/>
      </c>
    </row>
    <row r="24" ht="20" customHeight="1">
      <c r="A24" s="20" t="inlineStr">
        <is>
          <t>其他</t>
        </is>
      </c>
      <c r="B24" s="21" t="n">
        <v>343.02</v>
      </c>
      <c r="C24" s="21" t="n">
        <v>0</v>
      </c>
      <c r="D24" s="21" t="n">
        <v>0</v>
      </c>
      <c r="E24" s="21" t="n">
        <v>15</v>
      </c>
      <c r="F24" s="21" t="n">
        <v>0</v>
      </c>
      <c r="G24" s="21" t="n">
        <v>0</v>
      </c>
      <c r="H24" s="21">
        <f>B24-E24</f>
        <v/>
      </c>
      <c r="I24" s="21">
        <f>(D24-G24)*C24</f>
        <v/>
      </c>
      <c r="J24" s="21">
        <f>G24*(C24-F24)</f>
        <v/>
      </c>
    </row>
    <row r="25" ht="22" customHeight="1">
      <c r="A25" s="22" t="inlineStr">
        <is>
          <t>固定成本合计</t>
        </is>
      </c>
      <c r="B25" s="32" t="n">
        <v>4658.9</v>
      </c>
      <c r="C25" s="33" t="inlineStr"/>
      <c r="D25" s="33" t="inlineStr"/>
      <c r="E25" s="32" t="n">
        <v>2851.02</v>
      </c>
      <c r="F25" s="33" t="inlineStr"/>
      <c r="G25" s="33" t="inlineStr"/>
      <c r="H25" s="32" t="n">
        <v>1807.88</v>
      </c>
      <c r="I25" s="32" t="n">
        <v>0</v>
      </c>
      <c r="J25" s="32" t="n">
        <v>0</v>
      </c>
    </row>
    <row r="26" ht="25" customHeight="1">
      <c r="A26" s="25" t="inlineStr">
        <is>
          <t>叠拼 VS 叠墅</t>
        </is>
      </c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</row>
    <row r="27" ht="20" customHeight="1">
      <c r="A27" s="18" t="inlineStr">
        <is>
          <t>建筑工程</t>
        </is>
      </c>
      <c r="B27" s="27" t="n">
        <v>2089.77</v>
      </c>
      <c r="C27" s="27" t="n">
        <v>0</v>
      </c>
      <c r="D27" s="27" t="n">
        <v>0</v>
      </c>
      <c r="E27" s="27" t="n">
        <v>1358.27</v>
      </c>
      <c r="F27" s="27" t="n">
        <v>0</v>
      </c>
      <c r="G27" s="27" t="n">
        <v>0</v>
      </c>
      <c r="H27" s="27">
        <f>B27-E27</f>
        <v/>
      </c>
      <c r="I27" s="27">
        <f>(D27-G27)*C27</f>
        <v/>
      </c>
      <c r="J27" s="27">
        <f>G27*(C27-F27)</f>
        <v/>
      </c>
    </row>
    <row r="28" ht="20" customHeight="1">
      <c r="A28" s="28" t="inlineStr">
        <is>
          <t xml:space="preserve">  钢筋工程</t>
        </is>
      </c>
      <c r="B28" s="29" t="n">
        <v>300.97</v>
      </c>
      <c r="C28" s="29" t="n">
        <v>49.83</v>
      </c>
      <c r="D28" s="29" t="n">
        <v>6.039935781657637</v>
      </c>
      <c r="E28" s="29" t="n">
        <v>253.06</v>
      </c>
      <c r="F28" s="29" t="n">
        <v>49.74</v>
      </c>
      <c r="G28" s="29" t="n">
        <v>5.087655810213108</v>
      </c>
      <c r="H28" s="29">
        <f>B28-E28</f>
        <v/>
      </c>
      <c r="I28" s="29">
        <f>(D28-G28)*C28</f>
        <v/>
      </c>
      <c r="J28" s="29">
        <f>G28*(C28-F28)</f>
        <v/>
      </c>
    </row>
    <row r="29" ht="20" customHeight="1">
      <c r="A29" s="28" t="inlineStr">
        <is>
          <t xml:space="preserve">  模板工程</t>
        </is>
      </c>
      <c r="B29" s="29" t="n">
        <v>314.88</v>
      </c>
      <c r="C29" s="29" t="n">
        <v>2.56</v>
      </c>
      <c r="D29" s="29" t="n">
        <v>123</v>
      </c>
      <c r="E29" s="29" t="n">
        <v>170.8288</v>
      </c>
      <c r="F29" s="29" t="n">
        <v>2.56</v>
      </c>
      <c r="G29" s="29" t="n">
        <v>66.73</v>
      </c>
      <c r="H29" s="29">
        <f>B29-E29</f>
        <v/>
      </c>
      <c r="I29" s="29">
        <f>(D29-G29)*C29</f>
        <v/>
      </c>
      <c r="J29" s="29">
        <f>G29*(C29-F29)</f>
        <v/>
      </c>
    </row>
    <row r="30" ht="20" customHeight="1">
      <c r="A30" s="28" t="inlineStr">
        <is>
          <t xml:space="preserve">  混凝土工程</t>
        </is>
      </c>
      <c r="B30" s="29" t="n">
        <v>458.31</v>
      </c>
      <c r="C30" s="29" t="n">
        <v>0.38</v>
      </c>
      <c r="D30" s="29" t="n">
        <v>1206.078947368421</v>
      </c>
      <c r="E30" s="29" t="n">
        <v>245.76</v>
      </c>
      <c r="F30" s="29" t="n">
        <v>0.38</v>
      </c>
      <c r="G30" s="29" t="n">
        <v>646.7368421052631</v>
      </c>
      <c r="H30" s="29">
        <f>B30-E30</f>
        <v/>
      </c>
      <c r="I30" s="29">
        <f>(D30-G30)*C30</f>
        <v/>
      </c>
      <c r="J30" s="29">
        <f>G30*(C30-F30)</f>
        <v/>
      </c>
    </row>
    <row r="31" ht="20" customHeight="1">
      <c r="A31" s="28" t="inlineStr">
        <is>
          <t xml:space="preserve">  砌筑工程</t>
        </is>
      </c>
      <c r="B31" s="29" t="n">
        <v>165.6</v>
      </c>
      <c r="C31" s="29" t="n">
        <v>0.18</v>
      </c>
      <c r="D31" s="29" t="n">
        <v>920</v>
      </c>
      <c r="E31" s="29" t="n">
        <v>145.1286</v>
      </c>
      <c r="F31" s="29" t="n">
        <v>0.18</v>
      </c>
      <c r="G31" s="29" t="n">
        <v>806.27</v>
      </c>
      <c r="H31" s="29">
        <f>B31-E31</f>
        <v/>
      </c>
      <c r="I31" s="29">
        <f>(D31-G31)*C31</f>
        <v/>
      </c>
      <c r="J31" s="29">
        <f>G31*(C31-F31)</f>
        <v/>
      </c>
    </row>
    <row r="32" ht="20" customHeight="1">
      <c r="A32" s="28" t="inlineStr">
        <is>
          <t xml:space="preserve">  粗装修工程</t>
        </is>
      </c>
      <c r="B32" s="29" t="n">
        <v>400</v>
      </c>
      <c r="C32" s="29" t="n">
        <v>0</v>
      </c>
      <c r="D32" s="29" t="n">
        <v>0</v>
      </c>
      <c r="E32" s="29" t="n">
        <v>239.55</v>
      </c>
      <c r="F32" s="29" t="n">
        <v>0</v>
      </c>
      <c r="G32" s="29" t="n">
        <v>0</v>
      </c>
      <c r="H32" s="29">
        <f>B32-E32</f>
        <v/>
      </c>
      <c r="I32" s="29">
        <f>(D32-G32)*C32</f>
        <v/>
      </c>
      <c r="J32" s="29">
        <f>G32*(C32-F32)</f>
        <v/>
      </c>
    </row>
    <row r="33" ht="20" customHeight="1">
      <c r="A33" s="28" t="inlineStr">
        <is>
          <t xml:space="preserve">  保温工程</t>
        </is>
      </c>
      <c r="B33" s="29" t="n">
        <v>0</v>
      </c>
      <c r="C33" s="29" t="n">
        <v>1</v>
      </c>
      <c r="D33" s="29" t="n">
        <v>0</v>
      </c>
      <c r="E33" s="29" t="n">
        <v>0</v>
      </c>
      <c r="F33" s="29" t="n">
        <v>1</v>
      </c>
      <c r="G33" s="29" t="n">
        <v>0</v>
      </c>
      <c r="H33" s="29">
        <f>B33-E33</f>
        <v/>
      </c>
      <c r="I33" s="29">
        <f>(D33-G33)*C33</f>
        <v/>
      </c>
      <c r="J33" s="29">
        <f>G33*(C33-F33)</f>
        <v/>
      </c>
    </row>
    <row r="34" ht="20" customHeight="1">
      <c r="A34" s="28" t="inlineStr">
        <is>
          <t xml:space="preserve">  其他建筑工程</t>
        </is>
      </c>
      <c r="B34" s="29" t="n">
        <v>0</v>
      </c>
      <c r="C34" s="29" t="n">
        <v>0</v>
      </c>
      <c r="D34" s="29" t="n">
        <v>0</v>
      </c>
      <c r="E34" s="29" t="n">
        <v>65.68000000000001</v>
      </c>
      <c r="F34" s="29" t="n">
        <v>0</v>
      </c>
      <c r="G34" s="29" t="n">
        <v>0</v>
      </c>
      <c r="H34" s="29">
        <f>B34-E34</f>
        <v/>
      </c>
      <c r="I34" s="29">
        <f>(D34-G34)*C34</f>
        <v/>
      </c>
      <c r="J34" s="29">
        <f>G34*(C34-F34)</f>
        <v/>
      </c>
    </row>
    <row r="35" ht="20" customHeight="1">
      <c r="A35" s="28" t="inlineStr">
        <is>
          <t xml:space="preserve">  开办费</t>
        </is>
      </c>
      <c r="B35" s="29" t="n">
        <v>450</v>
      </c>
      <c r="C35" s="29" t="n">
        <v>27.44</v>
      </c>
      <c r="D35" s="29" t="n">
        <v>450</v>
      </c>
      <c r="E35" s="29" t="n">
        <v>238.27</v>
      </c>
      <c r="F35" s="29" t="n">
        <v>21.27405327965678</v>
      </c>
      <c r="G35" s="29" t="n">
        <v>238.27</v>
      </c>
      <c r="H35" s="29">
        <f>B35-E35</f>
        <v/>
      </c>
      <c r="I35" s="29">
        <f>(D35-G35)*C35</f>
        <v/>
      </c>
      <c r="J35" s="29">
        <f>G35*(C35-F35)</f>
        <v/>
      </c>
    </row>
    <row r="36" ht="20" customHeight="1">
      <c r="A36" s="20" t="inlineStr">
        <is>
          <t>防水工程</t>
        </is>
      </c>
      <c r="B36" s="21" t="n">
        <v>110</v>
      </c>
      <c r="C36" s="21" t="n">
        <v>0</v>
      </c>
      <c r="D36" s="21" t="n">
        <v>0</v>
      </c>
      <c r="E36" s="21" t="n">
        <v>103.01</v>
      </c>
      <c r="F36" s="21" t="n">
        <v>0</v>
      </c>
      <c r="G36" s="21" t="n">
        <v>0</v>
      </c>
      <c r="H36" s="21">
        <f>B36-E36</f>
        <v/>
      </c>
      <c r="I36" s="21">
        <f>(D36-G36)*C36</f>
        <v/>
      </c>
      <c r="J36" s="21">
        <f>G36*(C36-F36)</f>
        <v/>
      </c>
    </row>
    <row r="37" ht="20" customHeight="1">
      <c r="A37" s="30" t="inlineStr">
        <is>
          <t>防火门工程</t>
        </is>
      </c>
      <c r="B37" s="31" t="n">
        <v>8.85</v>
      </c>
      <c r="C37" s="31" t="n">
        <v>0</v>
      </c>
      <c r="D37" s="31" t="n">
        <v>0</v>
      </c>
      <c r="E37" s="31" t="n">
        <v>6.23</v>
      </c>
      <c r="F37" s="31" t="n">
        <v>0</v>
      </c>
      <c r="G37" s="31" t="n">
        <v>0</v>
      </c>
      <c r="H37" s="31">
        <f>B37-E37</f>
        <v/>
      </c>
      <c r="I37" s="31">
        <f>(D37-G37)*C37</f>
        <v/>
      </c>
      <c r="J37" s="31">
        <f>G37*(C37-F37)</f>
        <v/>
      </c>
    </row>
    <row r="38" ht="20" customHeight="1">
      <c r="A38" s="20" t="inlineStr">
        <is>
          <t>常规机电工程</t>
        </is>
      </c>
      <c r="B38" s="21" t="n">
        <v>320</v>
      </c>
      <c r="C38" s="21" t="n">
        <v>0</v>
      </c>
      <c r="D38" s="21" t="n">
        <v>0</v>
      </c>
      <c r="E38" s="21" t="n">
        <v>209.46</v>
      </c>
      <c r="F38" s="21" t="n">
        <v>0</v>
      </c>
      <c r="G38" s="21" t="n">
        <v>0</v>
      </c>
      <c r="H38" s="21">
        <f>B38-E38</f>
        <v/>
      </c>
      <c r="I38" s="21">
        <f>(D38-G38)*C38</f>
        <v/>
      </c>
      <c r="J38" s="21">
        <f>G38*(C38-F38)</f>
        <v/>
      </c>
    </row>
    <row r="39" ht="20" customHeight="1">
      <c r="A39" s="30" t="inlineStr">
        <is>
          <t>消防工程</t>
        </is>
      </c>
      <c r="B39" s="31" t="n">
        <v>0</v>
      </c>
      <c r="C39" s="31" t="n">
        <v>0</v>
      </c>
      <c r="D39" s="31" t="n">
        <v>0</v>
      </c>
      <c r="E39" s="31" t="n">
        <v>20.45</v>
      </c>
      <c r="F39" s="31" t="n">
        <v>0</v>
      </c>
      <c r="G39" s="31" t="n">
        <v>0</v>
      </c>
      <c r="H39" s="31">
        <f>B39-E39</f>
        <v/>
      </c>
      <c r="I39" s="31">
        <f>(D39-G39)*C39</f>
        <v/>
      </c>
      <c r="J39" s="31">
        <f>G39*(C39-F39)</f>
        <v/>
      </c>
    </row>
    <row r="40" ht="20" customHeight="1">
      <c r="A40" s="20" t="inlineStr">
        <is>
          <t>外墙保温工程</t>
        </is>
      </c>
      <c r="B40" s="21" t="n">
        <v>180</v>
      </c>
      <c r="C40" s="21" t="n">
        <v>0</v>
      </c>
      <c r="D40" s="21" t="n">
        <v>0</v>
      </c>
      <c r="E40" s="21" t="n">
        <v>81.2</v>
      </c>
      <c r="F40" s="21" t="n">
        <v>0</v>
      </c>
      <c r="G40" s="21" t="n">
        <v>0</v>
      </c>
      <c r="H40" s="21">
        <f>B40-E40</f>
        <v/>
      </c>
      <c r="I40" s="21">
        <f>(D40-G40)*C40</f>
        <v/>
      </c>
      <c r="J40" s="21">
        <f>G40*(C40-F40)</f>
        <v/>
      </c>
    </row>
    <row r="41" ht="20" customHeight="1">
      <c r="A41" s="30" t="inlineStr">
        <is>
          <t>大堂门工程</t>
        </is>
      </c>
      <c r="B41" s="31" t="n">
        <v>0</v>
      </c>
      <c r="C41" s="31" t="n">
        <v>0</v>
      </c>
      <c r="D41" s="31" t="n">
        <v>0</v>
      </c>
      <c r="E41" s="31" t="n">
        <v>11.53</v>
      </c>
      <c r="F41" s="31" t="n">
        <v>0</v>
      </c>
      <c r="G41" s="31" t="n">
        <v>0</v>
      </c>
      <c r="H41" s="31">
        <f>B41-E41</f>
        <v/>
      </c>
      <c r="I41" s="31">
        <f>(D41-G41)*C41</f>
        <v/>
      </c>
      <c r="J41" s="31">
        <f>G41*(C41-F41)</f>
        <v/>
      </c>
    </row>
    <row r="42" ht="20" customHeight="1">
      <c r="A42" s="20" t="inlineStr">
        <is>
          <t>中水系统工程</t>
        </is>
      </c>
      <c r="B42" s="21" t="n">
        <v>15</v>
      </c>
      <c r="C42" s="21" t="n">
        <v>0</v>
      </c>
      <c r="D42" s="21" t="n">
        <v>0</v>
      </c>
      <c r="E42" s="21" t="n">
        <v>0</v>
      </c>
      <c r="F42" s="21" t="n">
        <v>0</v>
      </c>
      <c r="G42" s="21" t="n">
        <v>0</v>
      </c>
      <c r="H42" s="21">
        <f>B42-E42</f>
        <v/>
      </c>
      <c r="I42" s="21">
        <f>(D42-G42)*C42</f>
        <v/>
      </c>
      <c r="J42" s="21">
        <f>G42*(C42-F42)</f>
        <v/>
      </c>
    </row>
    <row r="43" ht="20" customHeight="1">
      <c r="A43" s="30" t="inlineStr">
        <is>
          <t>采暖工程</t>
        </is>
      </c>
      <c r="B43" s="31" t="n">
        <v>141.82</v>
      </c>
      <c r="C43" s="31" t="n">
        <v>0</v>
      </c>
      <c r="D43" s="31" t="n">
        <v>0</v>
      </c>
      <c r="E43" s="31" t="n">
        <v>0</v>
      </c>
      <c r="F43" s="31" t="n">
        <v>0</v>
      </c>
      <c r="G43" s="31" t="n">
        <v>0</v>
      </c>
      <c r="H43" s="31">
        <f>B43-E43</f>
        <v/>
      </c>
      <c r="I43" s="31">
        <f>(D43-G43)*C43</f>
        <v/>
      </c>
      <c r="J43" s="31">
        <f>G43*(C43-F43)</f>
        <v/>
      </c>
    </row>
    <row r="44" ht="20" customHeight="1">
      <c r="A44" s="20" t="inlineStr">
        <is>
          <t>有线电视工程</t>
        </is>
      </c>
      <c r="B44" s="21" t="n">
        <v>5.44</v>
      </c>
      <c r="C44" s="21" t="n">
        <v>0</v>
      </c>
      <c r="D44" s="21" t="n">
        <v>0</v>
      </c>
      <c r="E44" s="21" t="n">
        <v>13.43</v>
      </c>
      <c r="F44" s="21" t="n">
        <v>0</v>
      </c>
      <c r="G44" s="21" t="n">
        <v>0</v>
      </c>
      <c r="H44" s="21">
        <f>B44-E44</f>
        <v/>
      </c>
      <c r="I44" s="21">
        <f>(D44-G44)*C44</f>
        <v/>
      </c>
      <c r="J44" s="21">
        <f>G44*(C44-F44)</f>
        <v/>
      </c>
    </row>
    <row r="45" ht="20" customHeight="1">
      <c r="A45" s="30" t="inlineStr">
        <is>
          <t>电信及网络系统工程</t>
        </is>
      </c>
      <c r="B45" s="31" t="n">
        <v>0</v>
      </c>
      <c r="C45" s="31" t="n">
        <v>0</v>
      </c>
      <c r="D45" s="31" t="n">
        <v>0</v>
      </c>
      <c r="E45" s="31" t="n">
        <v>9.300000000000001</v>
      </c>
      <c r="F45" s="31" t="n">
        <v>0</v>
      </c>
      <c r="G45" s="31" t="n">
        <v>0</v>
      </c>
      <c r="H45" s="31">
        <f>B45-E45</f>
        <v/>
      </c>
      <c r="I45" s="31">
        <f>(D45-G45)*C45</f>
        <v/>
      </c>
      <c r="J45" s="31">
        <f>G45*(C45-F45)</f>
        <v/>
      </c>
    </row>
    <row r="46" ht="20" customHeight="1">
      <c r="A46" s="20" t="inlineStr">
        <is>
          <t>太阳能热水器</t>
        </is>
      </c>
      <c r="B46" s="21" t="n">
        <v>48.97</v>
      </c>
      <c r="C46" s="21" t="n">
        <v>0</v>
      </c>
      <c r="D46" s="21" t="n">
        <v>0</v>
      </c>
      <c r="E46" s="21" t="n">
        <v>27.33</v>
      </c>
      <c r="F46" s="21" t="n">
        <v>0</v>
      </c>
      <c r="G46" s="21" t="n">
        <v>0</v>
      </c>
      <c r="H46" s="21">
        <f>B46-E46</f>
        <v/>
      </c>
      <c r="I46" s="21">
        <f>(D46-G46)*C46</f>
        <v/>
      </c>
      <c r="J46" s="21">
        <f>G46*(C46-F46)</f>
        <v/>
      </c>
    </row>
    <row r="47" ht="20" customHeight="1">
      <c r="A47" s="30" t="inlineStr">
        <is>
          <t>泛光照明工程</t>
        </is>
      </c>
      <c r="B47" s="31" t="n">
        <v>19.45</v>
      </c>
      <c r="C47" s="31" t="n">
        <v>0</v>
      </c>
      <c r="D47" s="31" t="n">
        <v>0</v>
      </c>
      <c r="E47" s="31" t="n">
        <v>24.55</v>
      </c>
      <c r="F47" s="31" t="n">
        <v>0</v>
      </c>
      <c r="G47" s="31" t="n">
        <v>0</v>
      </c>
      <c r="H47" s="31">
        <f>B47-E47</f>
        <v/>
      </c>
      <c r="I47" s="31">
        <f>(D47-G47)*C47</f>
        <v/>
      </c>
      <c r="J47" s="31">
        <f>G47*(C47-F47)</f>
        <v/>
      </c>
    </row>
    <row r="48" ht="20" customHeight="1">
      <c r="A48" s="20" t="inlineStr">
        <is>
          <t>其他装饰工程</t>
        </is>
      </c>
      <c r="B48" s="21" t="n">
        <v>41.05</v>
      </c>
      <c r="C48" s="21" t="n">
        <v>0</v>
      </c>
      <c r="D48" s="21" t="n">
        <v>0</v>
      </c>
      <c r="E48" s="21" t="n">
        <v>0</v>
      </c>
      <c r="F48" s="21" t="n">
        <v>0</v>
      </c>
      <c r="G48" s="21" t="n">
        <v>0</v>
      </c>
      <c r="H48" s="21">
        <f>B48-E48</f>
        <v/>
      </c>
      <c r="I48" s="21">
        <f>(D48-G48)*C48</f>
        <v/>
      </c>
      <c r="J48" s="21">
        <f>G48*(C48-F48)</f>
        <v/>
      </c>
    </row>
    <row r="49" ht="20" customHeight="1">
      <c r="A49" s="30" t="inlineStr">
        <is>
          <t>其他</t>
        </is>
      </c>
      <c r="B49" s="31" t="n">
        <v>33.85</v>
      </c>
      <c r="C49" s="31" t="n">
        <v>0</v>
      </c>
      <c r="D49" s="31" t="n">
        <v>0</v>
      </c>
      <c r="E49" s="31" t="n">
        <v>30</v>
      </c>
      <c r="F49" s="31" t="n">
        <v>0</v>
      </c>
      <c r="G49" s="31" t="n">
        <v>0</v>
      </c>
      <c r="H49" s="31">
        <f>B49-E49</f>
        <v/>
      </c>
      <c r="I49" s="31">
        <f>(D49-G49)*C49</f>
        <v/>
      </c>
      <c r="J49" s="31">
        <f>G49*(C49-F49)</f>
        <v/>
      </c>
    </row>
    <row r="50" ht="22" customHeight="1">
      <c r="A50" s="22" t="inlineStr">
        <is>
          <t>固定成本合计</t>
        </is>
      </c>
      <c r="B50" s="32" t="n">
        <v>3014.2</v>
      </c>
      <c r="C50" s="33" t="inlineStr"/>
      <c r="D50" s="33" t="inlineStr"/>
      <c r="E50" s="32" t="n">
        <v>1894.76</v>
      </c>
      <c r="F50" s="33" t="inlineStr"/>
      <c r="G50" s="33" t="inlineStr"/>
      <c r="H50" s="32" t="n">
        <v>1119.44</v>
      </c>
      <c r="I50" s="32" t="n">
        <v>0</v>
      </c>
      <c r="J50" s="32" t="n">
        <v>0</v>
      </c>
    </row>
    <row r="51" ht="25" customHeight="1">
      <c r="A51" s="25" t="inlineStr">
        <is>
          <t>洋房 VS 小高层</t>
        </is>
      </c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</row>
    <row r="52" ht="20" customHeight="1">
      <c r="A52" s="18" t="inlineStr">
        <is>
          <t>建筑工程</t>
        </is>
      </c>
      <c r="B52" s="27" t="n">
        <v>1927.33</v>
      </c>
      <c r="C52" s="27" t="n">
        <v>0</v>
      </c>
      <c r="D52" s="27" t="n">
        <v>0</v>
      </c>
      <c r="E52" s="27" t="n">
        <v>1340.15</v>
      </c>
      <c r="F52" s="27" t="n">
        <v>0</v>
      </c>
      <c r="G52" s="27" t="n">
        <v>0</v>
      </c>
      <c r="H52" s="27">
        <f>B52-E52</f>
        <v/>
      </c>
      <c r="I52" s="27">
        <f>(D52-G52)*C52</f>
        <v/>
      </c>
      <c r="J52" s="27">
        <f>G52*(C52-F52)</f>
        <v/>
      </c>
    </row>
    <row r="53" ht="20" customHeight="1">
      <c r="A53" s="28" t="inlineStr">
        <is>
          <t xml:space="preserve">  钢筋工程</t>
        </is>
      </c>
      <c r="B53" s="29" t="n">
        <v>242.33</v>
      </c>
      <c r="C53" s="29" t="n">
        <v>41.71</v>
      </c>
      <c r="D53" s="29" t="n">
        <v>5.80987772716375</v>
      </c>
      <c r="E53" s="29" t="n">
        <v>227.79</v>
      </c>
      <c r="F53" s="29" t="n">
        <v>43.91</v>
      </c>
      <c r="G53" s="29" t="n">
        <v>5.187656570257345</v>
      </c>
      <c r="H53" s="29">
        <f>B53-E53</f>
        <v/>
      </c>
      <c r="I53" s="29">
        <f>(D53-G53)*C53</f>
        <v/>
      </c>
      <c r="J53" s="29">
        <f>G53*(C53-F53)</f>
        <v/>
      </c>
    </row>
    <row r="54" ht="20" customHeight="1">
      <c r="A54" s="28" t="inlineStr">
        <is>
          <t xml:space="preserve">  模板工程</t>
        </is>
      </c>
      <c r="B54" s="29" t="n">
        <v>292.64</v>
      </c>
      <c r="C54" s="29" t="n">
        <v>2.48</v>
      </c>
      <c r="D54" s="29" t="n">
        <v>118</v>
      </c>
      <c r="E54" s="29" t="n">
        <v>213.76</v>
      </c>
      <c r="F54" s="29" t="n">
        <v>3.34</v>
      </c>
      <c r="G54" s="29" t="n">
        <v>64</v>
      </c>
      <c r="H54" s="29">
        <f>B54-E54</f>
        <v/>
      </c>
      <c r="I54" s="29">
        <f>(D54-G54)*C54</f>
        <v/>
      </c>
      <c r="J54" s="29">
        <f>G54*(C54-F54)</f>
        <v/>
      </c>
    </row>
    <row r="55" ht="20" customHeight="1">
      <c r="A55" s="28" t="inlineStr">
        <is>
          <t xml:space="preserve">  混凝土工程</t>
        </is>
      </c>
      <c r="B55" s="29" t="n">
        <v>441.16</v>
      </c>
      <c r="C55" s="29" t="n">
        <v>0.39</v>
      </c>
      <c r="D55" s="29" t="n">
        <v>1131.179487179487</v>
      </c>
      <c r="E55" s="29" t="n">
        <v>270.81</v>
      </c>
      <c r="F55" s="29" t="n">
        <v>0.41</v>
      </c>
      <c r="G55" s="29" t="n">
        <v>660.5121951219512</v>
      </c>
      <c r="H55" s="29">
        <f>B55-E55</f>
        <v/>
      </c>
      <c r="I55" s="29">
        <f>(D55-G55)*C55</f>
        <v/>
      </c>
      <c r="J55" s="29">
        <f>G55*(C55-F55)</f>
        <v/>
      </c>
    </row>
    <row r="56" ht="20" customHeight="1">
      <c r="A56" s="28" t="inlineStr">
        <is>
          <t xml:space="preserve">  砌筑工程</t>
        </is>
      </c>
      <c r="B56" s="29" t="n">
        <v>101.2</v>
      </c>
      <c r="C56" s="29" t="n">
        <v>0.11</v>
      </c>
      <c r="D56" s="29" t="n">
        <v>920</v>
      </c>
      <c r="E56" s="29" t="n">
        <v>123.6384</v>
      </c>
      <c r="F56" s="29" t="n">
        <v>0.16</v>
      </c>
      <c r="G56" s="29" t="n">
        <v>772.74</v>
      </c>
      <c r="H56" s="29">
        <f>B56-E56</f>
        <v/>
      </c>
      <c r="I56" s="29">
        <f>(D56-G56)*C56</f>
        <v/>
      </c>
      <c r="J56" s="29">
        <f>G56*(C56-F56)</f>
        <v/>
      </c>
    </row>
    <row r="57" ht="20" customHeight="1">
      <c r="A57" s="28" t="inlineStr">
        <is>
          <t xml:space="preserve">  粗装修工程</t>
        </is>
      </c>
      <c r="B57" s="29" t="n">
        <v>400</v>
      </c>
      <c r="C57" s="29" t="n">
        <v>0</v>
      </c>
      <c r="D57" s="29" t="n">
        <v>0</v>
      </c>
      <c r="E57" s="29" t="n">
        <v>194.19</v>
      </c>
      <c r="F57" s="29" t="n">
        <v>0</v>
      </c>
      <c r="G57" s="29" t="n">
        <v>0</v>
      </c>
      <c r="H57" s="29">
        <f>B57-E57</f>
        <v/>
      </c>
      <c r="I57" s="29">
        <f>(D57-G57)*C57</f>
        <v/>
      </c>
      <c r="J57" s="29">
        <f>G57*(C57-F57)</f>
        <v/>
      </c>
    </row>
    <row r="58" ht="20" customHeight="1">
      <c r="A58" s="28" t="inlineStr">
        <is>
          <t xml:space="preserve">  保温工程</t>
        </is>
      </c>
      <c r="B58" s="29" t="n">
        <v>0</v>
      </c>
      <c r="C58" s="29" t="n">
        <v>1</v>
      </c>
      <c r="D58" s="29" t="n">
        <v>0</v>
      </c>
      <c r="E58" s="29" t="n">
        <v>0</v>
      </c>
      <c r="F58" s="29" t="n">
        <v>1</v>
      </c>
      <c r="G58" s="29" t="n">
        <v>0</v>
      </c>
      <c r="H58" s="29">
        <f>B58-E58</f>
        <v/>
      </c>
      <c r="I58" s="29">
        <f>(D58-G58)*C58</f>
        <v/>
      </c>
      <c r="J58" s="29">
        <f>G58*(C58-F58)</f>
        <v/>
      </c>
    </row>
    <row r="59" ht="20" customHeight="1">
      <c r="A59" s="28" t="inlineStr">
        <is>
          <t xml:space="preserve">  其他建筑工程</t>
        </is>
      </c>
      <c r="B59" s="29" t="n">
        <v>0</v>
      </c>
      <c r="C59" s="29" t="n">
        <v>0</v>
      </c>
      <c r="D59" s="29" t="n">
        <v>0</v>
      </c>
      <c r="E59" s="29" t="n">
        <v>56.22</v>
      </c>
      <c r="F59" s="29" t="n">
        <v>0</v>
      </c>
      <c r="G59" s="29" t="n">
        <v>0</v>
      </c>
      <c r="H59" s="29">
        <f>B59-E59</f>
        <v/>
      </c>
      <c r="I59" s="29">
        <f>(D59-G59)*C59</f>
        <v/>
      </c>
      <c r="J59" s="29">
        <f>G59*(C59-F59)</f>
        <v/>
      </c>
    </row>
    <row r="60" ht="20" customHeight="1">
      <c r="A60" s="28" t="inlineStr">
        <is>
          <t xml:space="preserve">  开办费</t>
        </is>
      </c>
      <c r="B60" s="29" t="n">
        <v>450</v>
      </c>
      <c r="C60" s="29" t="n">
        <v>30.46</v>
      </c>
      <c r="D60" s="29" t="n">
        <v>450</v>
      </c>
      <c r="E60" s="29" t="n">
        <v>253.75</v>
      </c>
      <c r="F60" s="29" t="n">
        <v>23.35696394357954</v>
      </c>
      <c r="G60" s="29" t="n">
        <v>253.75</v>
      </c>
      <c r="H60" s="29">
        <f>B60-E60</f>
        <v/>
      </c>
      <c r="I60" s="29">
        <f>(D60-G60)*C60</f>
        <v/>
      </c>
      <c r="J60" s="29">
        <f>G60*(C60-F60)</f>
        <v/>
      </c>
    </row>
    <row r="61" ht="20" customHeight="1">
      <c r="A61" s="20" t="inlineStr">
        <is>
          <t>防水工程</t>
        </is>
      </c>
      <c r="B61" s="21" t="n">
        <v>33.8</v>
      </c>
      <c r="C61" s="21" t="n">
        <v>0</v>
      </c>
      <c r="D61" s="21" t="n">
        <v>0</v>
      </c>
      <c r="E61" s="21" t="n">
        <v>74.98999999999999</v>
      </c>
      <c r="F61" s="21" t="n">
        <v>0</v>
      </c>
      <c r="G61" s="21" t="n">
        <v>0</v>
      </c>
      <c r="H61" s="21">
        <f>B61-E61</f>
        <v/>
      </c>
      <c r="I61" s="21">
        <f>(D61-G61)*C61</f>
        <v/>
      </c>
      <c r="J61" s="21">
        <f>G61*(C61-F61)</f>
        <v/>
      </c>
    </row>
    <row r="62" ht="20" customHeight="1">
      <c r="A62" s="30" t="inlineStr">
        <is>
          <t>防火门工程</t>
        </is>
      </c>
      <c r="B62" s="31" t="n">
        <v>8.85</v>
      </c>
      <c r="C62" s="31" t="n">
        <v>0</v>
      </c>
      <c r="D62" s="31" t="n">
        <v>0</v>
      </c>
      <c r="E62" s="31" t="n">
        <v>12.93</v>
      </c>
      <c r="F62" s="31" t="n">
        <v>0</v>
      </c>
      <c r="G62" s="31" t="n">
        <v>0</v>
      </c>
      <c r="H62" s="31">
        <f>B62-E62</f>
        <v/>
      </c>
      <c r="I62" s="31">
        <f>(D62-G62)*C62</f>
        <v/>
      </c>
      <c r="J62" s="31">
        <f>G62*(C62-F62)</f>
        <v/>
      </c>
    </row>
    <row r="63" ht="20" customHeight="1">
      <c r="A63" s="20" t="inlineStr">
        <is>
          <t>常规机电工程</t>
        </is>
      </c>
      <c r="B63" s="21" t="n">
        <v>320</v>
      </c>
      <c r="C63" s="21" t="n">
        <v>0</v>
      </c>
      <c r="D63" s="21" t="n">
        <v>0</v>
      </c>
      <c r="E63" s="21" t="n">
        <v>194.66</v>
      </c>
      <c r="F63" s="21" t="n">
        <v>0</v>
      </c>
      <c r="G63" s="21" t="n">
        <v>0</v>
      </c>
      <c r="H63" s="21">
        <f>B63-E63</f>
        <v/>
      </c>
      <c r="I63" s="21">
        <f>(D63-G63)*C63</f>
        <v/>
      </c>
      <c r="J63" s="21">
        <f>G63*(C63-F63)</f>
        <v/>
      </c>
    </row>
    <row r="64" ht="20" customHeight="1">
      <c r="A64" s="30" t="inlineStr">
        <is>
          <t>消防工程</t>
        </is>
      </c>
      <c r="B64" s="31" t="n">
        <v>12.82</v>
      </c>
      <c r="C64" s="31" t="n">
        <v>0</v>
      </c>
      <c r="D64" s="31" t="n">
        <v>0</v>
      </c>
      <c r="E64" s="31" t="n">
        <v>41.75</v>
      </c>
      <c r="F64" s="31" t="n">
        <v>0</v>
      </c>
      <c r="G64" s="31" t="n">
        <v>0</v>
      </c>
      <c r="H64" s="31">
        <f>B64-E64</f>
        <v/>
      </c>
      <c r="I64" s="31">
        <f>(D64-G64)*C64</f>
        <v/>
      </c>
      <c r="J64" s="31">
        <f>G64*(C64-F64)</f>
        <v/>
      </c>
    </row>
    <row r="65" ht="20" customHeight="1">
      <c r="A65" s="20" t="inlineStr">
        <is>
          <t>外墙保温工程</t>
        </is>
      </c>
      <c r="B65" s="21" t="n">
        <v>180</v>
      </c>
      <c r="C65" s="21" t="n">
        <v>0</v>
      </c>
      <c r="D65" s="21" t="n">
        <v>0</v>
      </c>
      <c r="E65" s="21" t="n">
        <v>87.55</v>
      </c>
      <c r="F65" s="21" t="n">
        <v>0</v>
      </c>
      <c r="G65" s="21" t="n">
        <v>0</v>
      </c>
      <c r="H65" s="21">
        <f>B65-E65</f>
        <v/>
      </c>
      <c r="I65" s="21">
        <f>(D65-G65)*C65</f>
        <v/>
      </c>
      <c r="J65" s="21">
        <f>G65*(C65-F65)</f>
        <v/>
      </c>
    </row>
    <row r="66" ht="20" customHeight="1">
      <c r="A66" s="30" t="inlineStr">
        <is>
          <t>大堂门工程</t>
        </is>
      </c>
      <c r="B66" s="31" t="n">
        <v>35.11</v>
      </c>
      <c r="C66" s="31" t="n">
        <v>0</v>
      </c>
      <c r="D66" s="31" t="n">
        <v>0</v>
      </c>
      <c r="E66" s="31" t="n">
        <v>10.73</v>
      </c>
      <c r="F66" s="31" t="n">
        <v>0</v>
      </c>
      <c r="G66" s="31" t="n">
        <v>0</v>
      </c>
      <c r="H66" s="31">
        <f>B66-E66</f>
        <v/>
      </c>
      <c r="I66" s="31">
        <f>(D66-G66)*C66</f>
        <v/>
      </c>
      <c r="J66" s="31">
        <f>G66*(C66-F66)</f>
        <v/>
      </c>
    </row>
    <row r="67" ht="20" customHeight="1">
      <c r="A67" s="20" t="inlineStr">
        <is>
          <t>中水系统工程</t>
        </is>
      </c>
      <c r="B67" s="21" t="n">
        <v>15</v>
      </c>
      <c r="C67" s="21" t="n">
        <v>0</v>
      </c>
      <c r="D67" s="21" t="n">
        <v>0</v>
      </c>
      <c r="E67" s="21" t="n">
        <v>0</v>
      </c>
      <c r="F67" s="21" t="n">
        <v>0</v>
      </c>
      <c r="G67" s="21" t="n">
        <v>0</v>
      </c>
      <c r="H67" s="21">
        <f>B67-E67</f>
        <v/>
      </c>
      <c r="I67" s="21">
        <f>(D67-G67)*C67</f>
        <v/>
      </c>
      <c r="J67" s="21">
        <f>G67*(C67-F67)</f>
        <v/>
      </c>
    </row>
    <row r="68" ht="20" customHeight="1">
      <c r="A68" s="30" t="inlineStr">
        <is>
          <t>采暖工程</t>
        </is>
      </c>
      <c r="B68" s="31" t="n">
        <v>123.52</v>
      </c>
      <c r="C68" s="31" t="n">
        <v>0</v>
      </c>
      <c r="D68" s="31" t="n">
        <v>0</v>
      </c>
      <c r="E68" s="31" t="n">
        <v>0</v>
      </c>
      <c r="F68" s="31" t="n">
        <v>0</v>
      </c>
      <c r="G68" s="31" t="n">
        <v>0</v>
      </c>
      <c r="H68" s="31">
        <f>B68-E68</f>
        <v/>
      </c>
      <c r="I68" s="31">
        <f>(D68-G68)*C68</f>
        <v/>
      </c>
      <c r="J68" s="31">
        <f>G68*(C68-F68)</f>
        <v/>
      </c>
    </row>
    <row r="69" ht="20" customHeight="1">
      <c r="A69" s="20" t="inlineStr">
        <is>
          <t>有线电视工程</t>
        </is>
      </c>
      <c r="B69" s="21" t="n">
        <v>7.55</v>
      </c>
      <c r="C69" s="21" t="n">
        <v>0</v>
      </c>
      <c r="D69" s="21" t="n">
        <v>0</v>
      </c>
      <c r="E69" s="21" t="n">
        <v>13.23</v>
      </c>
      <c r="F69" s="21" t="n">
        <v>0</v>
      </c>
      <c r="G69" s="21" t="n">
        <v>0</v>
      </c>
      <c r="H69" s="21">
        <f>B69-E69</f>
        <v/>
      </c>
      <c r="I69" s="21">
        <f>(D69-G69)*C69</f>
        <v/>
      </c>
      <c r="J69" s="21">
        <f>G69*(C69-F69)</f>
        <v/>
      </c>
    </row>
    <row r="70" ht="20" customHeight="1">
      <c r="A70" s="30" t="inlineStr">
        <is>
          <t>电信及网络系统工程</t>
        </is>
      </c>
      <c r="B70" s="31" t="n">
        <v>0</v>
      </c>
      <c r="C70" s="31" t="n">
        <v>0</v>
      </c>
      <c r="D70" s="31" t="n">
        <v>0</v>
      </c>
      <c r="E70" s="31" t="n">
        <v>7.35</v>
      </c>
      <c r="F70" s="31" t="n">
        <v>0</v>
      </c>
      <c r="G70" s="31" t="n">
        <v>0</v>
      </c>
      <c r="H70" s="31">
        <f>B70-E70</f>
        <v/>
      </c>
      <c r="I70" s="31">
        <f>(D70-G70)*C70</f>
        <v/>
      </c>
      <c r="J70" s="31">
        <f>G70*(C70-F70)</f>
        <v/>
      </c>
    </row>
    <row r="71" ht="20" customHeight="1">
      <c r="A71" s="20" t="inlineStr">
        <is>
          <t>太阳能热水器</t>
        </is>
      </c>
      <c r="B71" s="21" t="n">
        <v>48.97</v>
      </c>
      <c r="C71" s="21" t="n">
        <v>0</v>
      </c>
      <c r="D71" s="21" t="n">
        <v>0</v>
      </c>
      <c r="E71" s="21" t="n">
        <v>13.93</v>
      </c>
      <c r="F71" s="21" t="n">
        <v>0</v>
      </c>
      <c r="G71" s="21" t="n">
        <v>0</v>
      </c>
      <c r="H71" s="21">
        <f>B71-E71</f>
        <v/>
      </c>
      <c r="I71" s="21">
        <f>(D71-G71)*C71</f>
        <v/>
      </c>
      <c r="J71" s="21">
        <f>G71*(C71-F71)</f>
        <v/>
      </c>
    </row>
    <row r="72" ht="20" customHeight="1">
      <c r="A72" s="30" t="inlineStr">
        <is>
          <t>泛光照明工程</t>
        </is>
      </c>
      <c r="B72" s="31" t="n">
        <v>6.05</v>
      </c>
      <c r="C72" s="31" t="n">
        <v>0</v>
      </c>
      <c r="D72" s="31" t="n">
        <v>0</v>
      </c>
      <c r="E72" s="31" t="n">
        <v>11.04</v>
      </c>
      <c r="F72" s="31" t="n">
        <v>0</v>
      </c>
      <c r="G72" s="31" t="n">
        <v>0</v>
      </c>
      <c r="H72" s="31">
        <f>B72-E72</f>
        <v/>
      </c>
      <c r="I72" s="31">
        <f>(D72-G72)*C72</f>
        <v/>
      </c>
      <c r="J72" s="31">
        <f>G72*(C72-F72)</f>
        <v/>
      </c>
    </row>
    <row r="73" ht="20" customHeight="1">
      <c r="A73" s="20" t="inlineStr">
        <is>
          <t>其他装饰工程</t>
        </is>
      </c>
      <c r="B73" s="21" t="n">
        <v>17.13</v>
      </c>
      <c r="C73" s="21" t="n">
        <v>0</v>
      </c>
      <c r="D73" s="21" t="n">
        <v>0</v>
      </c>
      <c r="E73" s="21" t="n">
        <v>0</v>
      </c>
      <c r="F73" s="21" t="n">
        <v>0</v>
      </c>
      <c r="G73" s="21" t="n">
        <v>0</v>
      </c>
      <c r="H73" s="21">
        <f>B73-E73</f>
        <v/>
      </c>
      <c r="I73" s="21">
        <f>(D73-G73)*C73</f>
        <v/>
      </c>
      <c r="J73" s="21">
        <f>G73*(C73-F73)</f>
        <v/>
      </c>
    </row>
    <row r="74" ht="20" customHeight="1">
      <c r="A74" s="30" t="inlineStr">
        <is>
          <t>其他</t>
        </is>
      </c>
      <c r="B74" s="31" t="n">
        <v>4.29</v>
      </c>
      <c r="C74" s="31" t="n">
        <v>0</v>
      </c>
      <c r="D74" s="31" t="n">
        <v>0</v>
      </c>
      <c r="E74" s="31" t="n">
        <v>0</v>
      </c>
      <c r="F74" s="31" t="n">
        <v>0</v>
      </c>
      <c r="G74" s="31" t="n">
        <v>0</v>
      </c>
      <c r="H74" s="31">
        <f>B74-E74</f>
        <v/>
      </c>
      <c r="I74" s="31">
        <f>(D74-G74)*C74</f>
        <v/>
      </c>
      <c r="J74" s="31">
        <f>G74*(C74-F74)</f>
        <v/>
      </c>
    </row>
    <row r="75" ht="22" customHeight="1">
      <c r="A75" s="22" t="inlineStr">
        <is>
          <t>固定成本合计</t>
        </is>
      </c>
      <c r="B75" s="32" t="n">
        <v>2740.42</v>
      </c>
      <c r="C75" s="33" t="inlineStr"/>
      <c r="D75" s="33" t="inlineStr"/>
      <c r="E75" s="32" t="n">
        <v>1808.31</v>
      </c>
      <c r="F75" s="33" t="inlineStr"/>
      <c r="G75" s="33" t="inlineStr"/>
      <c r="H75" s="32" t="n">
        <v>932.1099999999998</v>
      </c>
      <c r="I75" s="32" t="n">
        <v>0</v>
      </c>
      <c r="J75" s="32" t="n">
        <v>0</v>
      </c>
    </row>
    <row r="76" ht="25" customHeight="1">
      <c r="A76" s="25" t="inlineStr">
        <is>
          <t>其他公共配套 VS 其他公共配套</t>
        </is>
      </c>
      <c r="B76" s="26" t="n"/>
      <c r="C76" s="26" t="n"/>
      <c r="D76" s="26" t="n"/>
      <c r="E76" s="26" t="n"/>
      <c r="F76" s="26" t="n"/>
      <c r="G76" s="26" t="n"/>
      <c r="H76" s="26" t="n"/>
      <c r="I76" s="26" t="n"/>
      <c r="J76" s="26" t="n"/>
    </row>
    <row r="77" ht="20" customHeight="1">
      <c r="A77" s="18" t="inlineStr">
        <is>
          <t>建筑工程</t>
        </is>
      </c>
      <c r="B77" s="27" t="n">
        <v>2453.45</v>
      </c>
      <c r="C77" s="27" t="n">
        <v>0</v>
      </c>
      <c r="D77" s="27" t="n">
        <v>0</v>
      </c>
      <c r="E77" s="27" t="n">
        <v>2269.3</v>
      </c>
      <c r="F77" s="27" t="n">
        <v>0</v>
      </c>
      <c r="G77" s="27" t="n">
        <v>0</v>
      </c>
      <c r="H77" s="27">
        <f>B77-E77</f>
        <v/>
      </c>
      <c r="I77" s="27">
        <f>(D77-G77)*C77</f>
        <v/>
      </c>
      <c r="J77" s="27">
        <f>G77*(C77-F77)</f>
        <v/>
      </c>
    </row>
    <row r="78" ht="20" customHeight="1">
      <c r="A78" s="28" t="inlineStr">
        <is>
          <t xml:space="preserve">  钢筋工程</t>
        </is>
      </c>
      <c r="B78" s="29" t="n">
        <v>253.82</v>
      </c>
      <c r="C78" s="29" t="n">
        <v>42</v>
      </c>
      <c r="D78" s="29" t="n">
        <v>6.043333333333333</v>
      </c>
      <c r="E78" s="29" t="n">
        <v>431.42</v>
      </c>
      <c r="F78" s="29" t="n">
        <v>75</v>
      </c>
      <c r="G78" s="29" t="n">
        <v>5.752266666666667</v>
      </c>
      <c r="H78" s="29">
        <f>B78-E78</f>
        <v/>
      </c>
      <c r="I78" s="29">
        <f>(D78-G78)*C78</f>
        <v/>
      </c>
      <c r="J78" s="29">
        <f>G78*(C78-F78)</f>
        <v/>
      </c>
    </row>
    <row r="79" ht="20" customHeight="1">
      <c r="A79" s="28" t="inlineStr">
        <is>
          <t xml:space="preserve">  模板工程</t>
        </is>
      </c>
      <c r="B79" s="29" t="n">
        <v>302.08</v>
      </c>
      <c r="C79" s="29" t="n">
        <v>2.56</v>
      </c>
      <c r="D79" s="29" t="n">
        <v>118</v>
      </c>
      <c r="E79" s="29" t="n">
        <v>311.181</v>
      </c>
      <c r="F79" s="29" t="n">
        <v>3.95</v>
      </c>
      <c r="G79" s="29" t="n">
        <v>78.78</v>
      </c>
      <c r="H79" s="29">
        <f>B79-E79</f>
        <v/>
      </c>
      <c r="I79" s="29">
        <f>(D79-G79)*C79</f>
        <v/>
      </c>
      <c r="J79" s="29">
        <f>G79*(C79-F79)</f>
        <v/>
      </c>
    </row>
    <row r="80" ht="20" customHeight="1">
      <c r="A80" s="28" t="inlineStr">
        <is>
          <t xml:space="preserve">  混凝土工程</t>
        </is>
      </c>
      <c r="B80" s="29" t="n">
        <v>178.91</v>
      </c>
      <c r="C80" s="29" t="n">
        <v>0.38</v>
      </c>
      <c r="D80" s="29" t="n">
        <v>470.8157894736842</v>
      </c>
      <c r="E80" s="29" t="n">
        <v>250.39</v>
      </c>
      <c r="F80" s="29" t="n">
        <v>0.47</v>
      </c>
      <c r="G80" s="29" t="n">
        <v>532.7446808510638</v>
      </c>
      <c r="H80" s="29">
        <f>B80-E80</f>
        <v/>
      </c>
      <c r="I80" s="29">
        <f>(D80-G80)*C80</f>
        <v/>
      </c>
      <c r="J80" s="29">
        <f>G80*(C80-F80)</f>
        <v/>
      </c>
    </row>
    <row r="81" ht="20" customHeight="1">
      <c r="A81" s="28" t="inlineStr">
        <is>
          <t xml:space="preserve">  砌筑工程</t>
        </is>
      </c>
      <c r="B81" s="29" t="n">
        <v>92</v>
      </c>
      <c r="C81" s="29" t="n">
        <v>0.1</v>
      </c>
      <c r="D81" s="29" t="n">
        <v>920</v>
      </c>
      <c r="E81" s="29" t="n">
        <v>139.077</v>
      </c>
      <c r="F81" s="29" t="n">
        <v>0.17</v>
      </c>
      <c r="G81" s="29" t="n">
        <v>818.1</v>
      </c>
      <c r="H81" s="29">
        <f>B81-E81</f>
        <v/>
      </c>
      <c r="I81" s="29">
        <f>(D81-G81)*C81</f>
        <v/>
      </c>
      <c r="J81" s="29">
        <f>G81*(C81-F81)</f>
        <v/>
      </c>
    </row>
    <row r="82" ht="20" customHeight="1">
      <c r="A82" s="28" t="inlineStr">
        <is>
          <t xml:space="preserve">  粗装修工程</t>
        </is>
      </c>
      <c r="B82" s="29" t="n">
        <v>400</v>
      </c>
      <c r="C82" s="29" t="n">
        <v>0</v>
      </c>
      <c r="D82" s="29" t="n">
        <v>0</v>
      </c>
      <c r="E82" s="29" t="n">
        <v>305.87</v>
      </c>
      <c r="F82" s="29" t="n">
        <v>0</v>
      </c>
      <c r="G82" s="29" t="n">
        <v>0</v>
      </c>
      <c r="H82" s="29">
        <f>B82-E82</f>
        <v/>
      </c>
      <c r="I82" s="29">
        <f>(D82-G82)*C82</f>
        <v/>
      </c>
      <c r="J82" s="29">
        <f>G82*(C82-F82)</f>
        <v/>
      </c>
    </row>
    <row r="83" ht="20" customHeight="1">
      <c r="A83" s="28" t="inlineStr">
        <is>
          <t xml:space="preserve">  其他建筑工程</t>
        </is>
      </c>
      <c r="B83" s="29" t="n">
        <v>0</v>
      </c>
      <c r="C83" s="29" t="n">
        <v>0</v>
      </c>
      <c r="D83" s="29" t="n">
        <v>0</v>
      </c>
      <c r="E83" s="29" t="n">
        <v>329.34</v>
      </c>
      <c r="F83" s="29" t="n">
        <v>0</v>
      </c>
      <c r="G83" s="29" t="n">
        <v>0</v>
      </c>
      <c r="H83" s="29">
        <f>B83-E83</f>
        <v/>
      </c>
      <c r="I83" s="29">
        <f>(D83-G83)*C83</f>
        <v/>
      </c>
      <c r="J83" s="29">
        <f>G83*(C83-F83)</f>
        <v/>
      </c>
    </row>
    <row r="84" ht="20" customHeight="1">
      <c r="A84" s="28" t="inlineStr">
        <is>
          <t xml:space="preserve">  开办费</t>
        </is>
      </c>
      <c r="B84" s="29" t="n">
        <v>1226.73</v>
      </c>
      <c r="C84" s="29" t="n">
        <v>100</v>
      </c>
      <c r="D84" s="29" t="n">
        <v>1226.74</v>
      </c>
      <c r="E84" s="29" t="n">
        <v>502.03</v>
      </c>
      <c r="F84" s="29" t="n">
        <v>28.40707810826049</v>
      </c>
      <c r="G84" s="29" t="n">
        <v>502.03</v>
      </c>
      <c r="H84" s="29">
        <f>B84-E84</f>
        <v/>
      </c>
      <c r="I84" s="29">
        <f>(D84-G84)*C84</f>
        <v/>
      </c>
      <c r="J84" s="29">
        <f>G84*(C84-F84)</f>
        <v/>
      </c>
    </row>
    <row r="85" ht="20" customHeight="1">
      <c r="A85" s="30" t="inlineStr">
        <is>
          <t>防水工程</t>
        </is>
      </c>
      <c r="B85" s="31" t="n">
        <v>30</v>
      </c>
      <c r="C85" s="31" t="n">
        <v>0</v>
      </c>
      <c r="D85" s="31" t="n">
        <v>0</v>
      </c>
      <c r="E85" s="31" t="n">
        <v>99.92</v>
      </c>
      <c r="F85" s="31" t="n">
        <v>0</v>
      </c>
      <c r="G85" s="31" t="n">
        <v>0</v>
      </c>
      <c r="H85" s="31">
        <f>B85-E85</f>
        <v/>
      </c>
      <c r="I85" s="31">
        <f>(D85-G85)*C85</f>
        <v/>
      </c>
      <c r="J85" s="31">
        <f>G85*(C85-F85)</f>
        <v/>
      </c>
    </row>
    <row r="86" ht="20" customHeight="1">
      <c r="A86" s="20" t="inlineStr">
        <is>
          <t>防火门工程</t>
        </is>
      </c>
      <c r="B86" s="21" t="n">
        <v>0</v>
      </c>
      <c r="C86" s="21" t="n">
        <v>0</v>
      </c>
      <c r="D86" s="21" t="n">
        <v>0</v>
      </c>
      <c r="E86" s="21" t="n">
        <v>31.6</v>
      </c>
      <c r="F86" s="21" t="n">
        <v>0</v>
      </c>
      <c r="G86" s="21" t="n">
        <v>0</v>
      </c>
      <c r="H86" s="21">
        <f>B86-E86</f>
        <v/>
      </c>
      <c r="I86" s="21">
        <f>(D86-G86)*C86</f>
        <v/>
      </c>
      <c r="J86" s="21">
        <f>G86*(C86-F86)</f>
        <v/>
      </c>
    </row>
    <row r="87" ht="20" customHeight="1">
      <c r="A87" s="30" t="inlineStr">
        <is>
          <t>常规机电工程</t>
        </is>
      </c>
      <c r="B87" s="31" t="n">
        <v>50</v>
      </c>
      <c r="C87" s="31" t="n">
        <v>0</v>
      </c>
      <c r="D87" s="31" t="n">
        <v>0</v>
      </c>
      <c r="E87" s="31" t="n">
        <v>228.95</v>
      </c>
      <c r="F87" s="31" t="n">
        <v>0</v>
      </c>
      <c r="G87" s="31" t="n">
        <v>0</v>
      </c>
      <c r="H87" s="31">
        <f>B87-E87</f>
        <v/>
      </c>
      <c r="I87" s="31">
        <f>(D87-G87)*C87</f>
        <v/>
      </c>
      <c r="J87" s="31">
        <f>G87*(C87-F87)</f>
        <v/>
      </c>
    </row>
    <row r="88" ht="20" customHeight="1">
      <c r="A88" s="20" t="inlineStr">
        <is>
          <t>消防工程</t>
        </is>
      </c>
      <c r="B88" s="21" t="n">
        <v>5.09</v>
      </c>
      <c r="C88" s="21" t="n">
        <v>0</v>
      </c>
      <c r="D88" s="21" t="n">
        <v>0</v>
      </c>
      <c r="E88" s="21" t="n">
        <v>28</v>
      </c>
      <c r="F88" s="21" t="n">
        <v>0</v>
      </c>
      <c r="G88" s="21" t="n">
        <v>0</v>
      </c>
      <c r="H88" s="21">
        <f>B88-E88</f>
        <v/>
      </c>
      <c r="I88" s="21">
        <f>(D88-G88)*C88</f>
        <v/>
      </c>
      <c r="J88" s="21">
        <f>G88*(C88-F88)</f>
        <v/>
      </c>
    </row>
    <row r="89" ht="20" customHeight="1">
      <c r="A89" s="30" t="inlineStr">
        <is>
          <t>外墙保温工程</t>
        </is>
      </c>
      <c r="B89" s="31" t="n">
        <v>180</v>
      </c>
      <c r="C89" s="31" t="n">
        <v>0</v>
      </c>
      <c r="D89" s="31" t="n">
        <v>0</v>
      </c>
      <c r="E89" s="31" t="n">
        <v>90</v>
      </c>
      <c r="F89" s="31" t="n">
        <v>0</v>
      </c>
      <c r="G89" s="31" t="n">
        <v>0</v>
      </c>
      <c r="H89" s="31">
        <f>B89-E89</f>
        <v/>
      </c>
      <c r="I89" s="31">
        <f>(D89-G89)*C89</f>
        <v/>
      </c>
      <c r="J89" s="31">
        <f>G89*(C89-F89)</f>
        <v/>
      </c>
    </row>
    <row r="90" ht="20" customHeight="1">
      <c r="A90" s="20" t="inlineStr">
        <is>
          <t>大堂门工程</t>
        </is>
      </c>
      <c r="B90" s="21" t="n">
        <v>0</v>
      </c>
      <c r="C90" s="21" t="n">
        <v>0</v>
      </c>
      <c r="D90" s="21" t="n">
        <v>0</v>
      </c>
      <c r="E90" s="21" t="n">
        <v>86.05</v>
      </c>
      <c r="F90" s="21" t="n">
        <v>0</v>
      </c>
      <c r="G90" s="21" t="n">
        <v>0</v>
      </c>
      <c r="H90" s="21">
        <f>B90-E90</f>
        <v/>
      </c>
      <c r="I90" s="21">
        <f>(D90-G90)*C90</f>
        <v/>
      </c>
      <c r="J90" s="21">
        <f>G90*(C90-F90)</f>
        <v/>
      </c>
    </row>
    <row r="91" ht="20" customHeight="1">
      <c r="A91" s="30" t="inlineStr">
        <is>
          <t>有线电视工程</t>
        </is>
      </c>
      <c r="B91" s="31" t="n">
        <v>0</v>
      </c>
      <c r="C91" s="31" t="n">
        <v>0</v>
      </c>
      <c r="D91" s="31" t="n">
        <v>0</v>
      </c>
      <c r="E91" s="31" t="n">
        <v>14</v>
      </c>
      <c r="F91" s="31" t="n">
        <v>0</v>
      </c>
      <c r="G91" s="31" t="n">
        <v>0</v>
      </c>
      <c r="H91" s="31">
        <f>B91-E91</f>
        <v/>
      </c>
      <c r="I91" s="31">
        <f>(D91-G91)*C91</f>
        <v/>
      </c>
      <c r="J91" s="31">
        <f>G91*(C91-F91)</f>
        <v/>
      </c>
    </row>
    <row r="92" ht="20" customHeight="1">
      <c r="A92" s="20" t="inlineStr">
        <is>
          <t>电信及网络系统工程</t>
        </is>
      </c>
      <c r="B92" s="21" t="n">
        <v>0</v>
      </c>
      <c r="C92" s="21" t="n">
        <v>0</v>
      </c>
      <c r="D92" s="21" t="n">
        <v>0</v>
      </c>
      <c r="E92" s="21" t="n">
        <v>34.42</v>
      </c>
      <c r="F92" s="21" t="n">
        <v>0</v>
      </c>
      <c r="G92" s="21" t="n">
        <v>0</v>
      </c>
      <c r="H92" s="21">
        <f>B92-E92</f>
        <v/>
      </c>
      <c r="I92" s="21">
        <f>(D92-G92)*C92</f>
        <v/>
      </c>
      <c r="J92" s="21">
        <f>G92*(C92-F92)</f>
        <v/>
      </c>
    </row>
    <row r="93" ht="20" customHeight="1">
      <c r="A93" s="30" t="inlineStr">
        <is>
          <t>交通标识工程</t>
        </is>
      </c>
      <c r="B93" s="31" t="n">
        <v>0</v>
      </c>
      <c r="C93" s="31" t="n">
        <v>0</v>
      </c>
      <c r="D93" s="31" t="n">
        <v>0</v>
      </c>
      <c r="E93" s="31" t="n">
        <v>100</v>
      </c>
      <c r="F93" s="31" t="n">
        <v>0</v>
      </c>
      <c r="G93" s="31" t="n">
        <v>0</v>
      </c>
      <c r="H93" s="31">
        <f>B93-E93</f>
        <v/>
      </c>
      <c r="I93" s="31">
        <f>(D93-G93)*C93</f>
        <v/>
      </c>
      <c r="J93" s="31">
        <f>G93*(C93-F93)</f>
        <v/>
      </c>
    </row>
    <row r="94" ht="20" customHeight="1">
      <c r="A94" s="20" t="inlineStr">
        <is>
          <t>泛光照明工程</t>
        </is>
      </c>
      <c r="B94" s="21" t="n">
        <v>90.91</v>
      </c>
      <c r="C94" s="21" t="n">
        <v>0</v>
      </c>
      <c r="D94" s="21" t="n">
        <v>0</v>
      </c>
      <c r="E94" s="21" t="n">
        <v>34.42</v>
      </c>
      <c r="F94" s="21" t="n">
        <v>0</v>
      </c>
      <c r="G94" s="21" t="n">
        <v>0</v>
      </c>
      <c r="H94" s="21">
        <f>B94-E94</f>
        <v/>
      </c>
      <c r="I94" s="21">
        <f>(D94-G94)*C94</f>
        <v/>
      </c>
      <c r="J94" s="21">
        <f>G94*(C94-F94)</f>
        <v/>
      </c>
    </row>
    <row r="95" ht="20" customHeight="1">
      <c r="A95" s="30" t="inlineStr">
        <is>
          <t>其他装饰工程</t>
        </is>
      </c>
      <c r="B95" s="31" t="n">
        <v>13454.55</v>
      </c>
      <c r="C95" s="31" t="n">
        <v>0</v>
      </c>
      <c r="D95" s="31" t="n">
        <v>0</v>
      </c>
      <c r="E95" s="31" t="n">
        <v>600</v>
      </c>
      <c r="F95" s="31" t="n">
        <v>0</v>
      </c>
      <c r="G95" s="31" t="n">
        <v>0</v>
      </c>
      <c r="H95" s="31">
        <f>B95-E95</f>
        <v/>
      </c>
      <c r="I95" s="31">
        <f>(D95-G95)*C95</f>
        <v/>
      </c>
      <c r="J95" s="31">
        <f>G95*(C95-F95)</f>
        <v/>
      </c>
    </row>
    <row r="96" ht="20" customHeight="1">
      <c r="A96" s="20" t="inlineStr">
        <is>
          <t>其他</t>
        </is>
      </c>
      <c r="B96" s="21" t="n">
        <v>661.45</v>
      </c>
      <c r="C96" s="21" t="n">
        <v>0</v>
      </c>
      <c r="D96" s="21" t="n">
        <v>0</v>
      </c>
      <c r="E96" s="21" t="n">
        <v>0</v>
      </c>
      <c r="F96" s="21" t="n">
        <v>0</v>
      </c>
      <c r="G96" s="21" t="n">
        <v>0</v>
      </c>
      <c r="H96" s="21">
        <f>B96-E96</f>
        <v/>
      </c>
      <c r="I96" s="21">
        <f>(D96-G96)*C96</f>
        <v/>
      </c>
      <c r="J96" s="21">
        <f>G96*(C96-F96)</f>
        <v/>
      </c>
    </row>
    <row r="97" ht="22" customHeight="1">
      <c r="A97" s="22" t="inlineStr">
        <is>
          <t>固定成本合计</t>
        </is>
      </c>
      <c r="B97" s="32" t="n">
        <v>16925.45</v>
      </c>
      <c r="C97" s="33" t="inlineStr"/>
      <c r="D97" s="33" t="inlineStr"/>
      <c r="E97" s="32" t="n">
        <v>3616.66</v>
      </c>
      <c r="F97" s="33" t="inlineStr"/>
      <c r="G97" s="33" t="inlineStr"/>
      <c r="H97" s="32" t="n">
        <v>13308.79</v>
      </c>
      <c r="I97" s="32" t="n">
        <v>0</v>
      </c>
      <c r="J97" s="32" t="n">
        <v>0</v>
      </c>
    </row>
  </sheetData>
  <mergeCells count="12">
    <mergeCell ref="A1:J1"/>
    <mergeCell ref="E2:G2"/>
    <mergeCell ref="A97"/>
    <mergeCell ref="A50"/>
    <mergeCell ref="A76:J76"/>
    <mergeCell ref="A25"/>
    <mergeCell ref="A4:J4"/>
    <mergeCell ref="A26:J26"/>
    <mergeCell ref="H2:J2"/>
    <mergeCell ref="B2:D2"/>
    <mergeCell ref="A75"/>
    <mergeCell ref="A51:J5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6" customWidth="1" min="3" max="3"/>
    <col width="16" customWidth="1" min="4" max="4"/>
    <col width="14" customWidth="1" min="5" max="5"/>
    <col width="16" customWidth="1" min="6" max="6"/>
    <col width="16" customWidth="1" min="7" max="7"/>
    <col width="14" customWidth="1" min="8" max="8"/>
    <col width="35" customWidth="1" min="9" max="9"/>
  </cols>
  <sheetData>
    <row r="1" ht="30" customHeight="1">
      <c r="A1" s="24" t="inlineStr">
        <is>
          <t>弹性单方差异明细分析</t>
        </is>
      </c>
    </row>
    <row r="2" ht="25" customHeight="1">
      <c r="A2" s="8" t="inlineStr">
        <is>
          <t>成本科目</t>
        </is>
      </c>
      <c r="B2" s="2" t="inlineStr">
        <is>
          <t>项目A：02.海淀树村地块-</t>
        </is>
      </c>
      <c r="C2" s="3" t="n"/>
      <c r="D2" s="3" t="n"/>
      <c r="E2" s="4" t="inlineStr">
        <is>
          <t>项目B：摩天轮地块</t>
        </is>
      </c>
      <c r="F2" s="5" t="n"/>
      <c r="G2" s="5" t="n"/>
      <c r="H2" s="6" t="inlineStr">
        <is>
          <t>差异分析</t>
        </is>
      </c>
      <c r="I2" s="7" t="n"/>
    </row>
    <row r="3" ht="35" customHeight="1">
      <c r="A3" s="8" t="inlineStr">
        <is>
          <t>科目/明细</t>
        </is>
      </c>
      <c r="B3" s="9" t="inlineStr">
        <is>
          <t>项目A-单方</t>
        </is>
      </c>
      <c r="C3" s="9" t="inlineStr">
        <is>
          <t>项目A-含量指标</t>
        </is>
      </c>
      <c r="D3" s="9" t="inlineStr">
        <is>
          <t>项目A-配置单价</t>
        </is>
      </c>
      <c r="E3" s="11" t="inlineStr">
        <is>
          <t>项目B-单方</t>
        </is>
      </c>
      <c r="F3" s="11" t="inlineStr">
        <is>
          <t>项目B-含量指标</t>
        </is>
      </c>
      <c r="G3" s="11" t="inlineStr">
        <is>
          <t>项目B-配置单价</t>
        </is>
      </c>
      <c r="H3" s="13" t="inlineStr">
        <is>
          <t>单方差异</t>
        </is>
      </c>
      <c r="I3" s="13" t="inlineStr">
        <is>
          <t>差异说明</t>
        </is>
      </c>
    </row>
    <row r="4" ht="25" customHeight="1">
      <c r="A4" s="25" t="inlineStr">
        <is>
          <t>地下室其他 VS 地下室其他</t>
        </is>
      </c>
      <c r="B4" s="26" t="n"/>
      <c r="C4" s="26" t="n"/>
      <c r="D4" s="26" t="n"/>
      <c r="E4" s="26" t="n"/>
      <c r="F4" s="26" t="n"/>
      <c r="G4" s="26" t="n"/>
      <c r="H4" s="26" t="n"/>
      <c r="I4" s="26" t="n"/>
    </row>
    <row r="5" ht="20" customHeight="1">
      <c r="A5" s="30" t="inlineStr">
        <is>
          <t>外立面装饰工程</t>
        </is>
      </c>
      <c r="B5" s="31" t="n">
        <v>0</v>
      </c>
      <c r="C5" s="31" t="n">
        <v>0</v>
      </c>
      <c r="D5" s="31" t="n">
        <v>0</v>
      </c>
      <c r="E5" s="31" t="n">
        <v>68.55</v>
      </c>
      <c r="F5" s="31" t="n">
        <v>0</v>
      </c>
      <c r="G5" s="31" t="n">
        <v>0</v>
      </c>
      <c r="H5" s="31">
        <f>B5-E5</f>
        <v/>
      </c>
      <c r="I5" s="30" t="inlineStr">
        <is>
          <t>单方差异: -68.55元/㎡</t>
        </is>
      </c>
    </row>
    <row r="6" ht="20" customHeight="1">
      <c r="A6" s="20" t="inlineStr">
        <is>
          <t>公共部位装饰工程</t>
        </is>
      </c>
      <c r="B6" s="21" t="n">
        <v>0</v>
      </c>
      <c r="C6" s="21" t="n">
        <v>0</v>
      </c>
      <c r="D6" s="21" t="n">
        <v>0</v>
      </c>
      <c r="E6" s="21" t="n">
        <v>1608.24</v>
      </c>
      <c r="F6" s="21" t="n">
        <v>0</v>
      </c>
      <c r="G6" s="21" t="n">
        <v>0</v>
      </c>
      <c r="H6" s="21">
        <f>B6-E6</f>
        <v/>
      </c>
      <c r="I6" s="20" t="inlineStr">
        <is>
          <t>单方差异: -1608.24元/㎡</t>
        </is>
      </c>
    </row>
    <row r="7" ht="22" customHeight="1">
      <c r="A7" s="22" t="inlineStr">
        <is>
          <t>弹性成本合计</t>
        </is>
      </c>
      <c r="B7" s="32" t="n">
        <v>0</v>
      </c>
      <c r="C7" s="33" t="inlineStr"/>
      <c r="D7" s="33" t="inlineStr"/>
      <c r="E7" s="32" t="n">
        <v>1676.79</v>
      </c>
      <c r="F7" s="33" t="inlineStr"/>
      <c r="G7" s="33" t="inlineStr"/>
      <c r="H7" s="32" t="n">
        <v>-1676.79</v>
      </c>
      <c r="I7" s="33" t="inlineStr"/>
    </row>
    <row r="8" ht="25" customHeight="1">
      <c r="A8" s="25" t="inlineStr">
        <is>
          <t>叠拼 VS 叠墅</t>
        </is>
      </c>
      <c r="B8" s="26" t="n"/>
      <c r="C8" s="26" t="n"/>
      <c r="D8" s="26" t="n"/>
      <c r="E8" s="26" t="n"/>
      <c r="F8" s="26" t="n"/>
      <c r="G8" s="26" t="n"/>
      <c r="H8" s="26" t="n"/>
      <c r="I8" s="26" t="n"/>
    </row>
    <row r="9" ht="20" customHeight="1">
      <c r="A9" s="30" t="inlineStr">
        <is>
          <t>入户门工程</t>
        </is>
      </c>
      <c r="B9" s="31" t="n">
        <v>118.03</v>
      </c>
      <c r="C9" s="31" t="n">
        <v>30.24803387779794</v>
      </c>
      <c r="D9" s="31" t="n">
        <v>39020.718</v>
      </c>
      <c r="E9" s="31" t="n">
        <v>147.32</v>
      </c>
      <c r="F9" s="31" t="n">
        <v>34.59105380031153</v>
      </c>
      <c r="G9" s="31" t="n">
        <v>42589.04653511111</v>
      </c>
      <c r="H9" s="31">
        <f>B9-E9</f>
        <v/>
      </c>
      <c r="I9" s="30" t="inlineStr">
        <is>
          <t>含量影响: -17.72元/㎡；配置影响: -11.57元/㎡</t>
        </is>
      </c>
    </row>
    <row r="10" ht="20" customHeight="1">
      <c r="A10" s="20" t="inlineStr">
        <is>
          <t>外立面门窗工程</t>
        </is>
      </c>
      <c r="B10" s="21" t="n">
        <v>636</v>
      </c>
      <c r="C10" s="21" t="n">
        <v>0.04</v>
      </c>
      <c r="D10" s="21" t="n">
        <v>275</v>
      </c>
      <c r="E10" s="21" t="n">
        <v>756</v>
      </c>
      <c r="F10" s="21" t="n">
        <v>0.42</v>
      </c>
      <c r="G10" s="21" t="n">
        <v>1800</v>
      </c>
      <c r="H10" s="21">
        <f>B10-E10</f>
        <v/>
      </c>
      <c r="I10" s="20" t="inlineStr">
        <is>
          <t>含量影响: -394.25元/㎡；配置影响: -350.75元/㎡</t>
        </is>
      </c>
    </row>
    <row r="11" ht="20" customHeight="1">
      <c r="A11" s="30" t="inlineStr">
        <is>
          <t>外立面装饰工程</t>
        </is>
      </c>
      <c r="B11" s="31" t="n">
        <v>1347</v>
      </c>
      <c r="C11" s="31" t="n">
        <v>0</v>
      </c>
      <c r="D11" s="31" t="n">
        <v>0</v>
      </c>
      <c r="E11" s="31" t="n">
        <v>1405.28</v>
      </c>
      <c r="F11" s="31" t="n">
        <v>0</v>
      </c>
      <c r="G11" s="31" t="n">
        <v>0</v>
      </c>
      <c r="H11" s="31">
        <f>B11-E11</f>
        <v/>
      </c>
      <c r="I11" s="30" t="inlineStr">
        <is>
          <t>单方差异: -58.28元/㎡</t>
        </is>
      </c>
    </row>
    <row r="12" ht="20" customHeight="1">
      <c r="A12" s="20" t="inlineStr">
        <is>
          <t>栏杆工程</t>
        </is>
      </c>
      <c r="B12" s="21" t="n">
        <v>29.21</v>
      </c>
      <c r="C12" s="21" t="n">
        <v>0</v>
      </c>
      <c r="D12" s="21" t="n">
        <v>0</v>
      </c>
      <c r="E12" s="21" t="n">
        <v>20.79</v>
      </c>
      <c r="F12" s="21" t="n">
        <v>0</v>
      </c>
      <c r="G12" s="21" t="n">
        <v>0</v>
      </c>
      <c r="H12" s="21">
        <f>B12-E12</f>
        <v/>
      </c>
      <c r="I12" s="20" t="inlineStr">
        <is>
          <t>单方差异: 8.42元/㎡</t>
        </is>
      </c>
    </row>
    <row r="13" ht="20" customHeight="1">
      <c r="A13" s="30" t="inlineStr">
        <is>
          <t>公共部位装饰工程</t>
        </is>
      </c>
      <c r="B13" s="31" t="n">
        <v>431.89</v>
      </c>
      <c r="C13" s="31" t="n">
        <v>0</v>
      </c>
      <c r="D13" s="31" t="n">
        <v>0</v>
      </c>
      <c r="E13" s="31" t="n">
        <v>51.24</v>
      </c>
      <c r="F13" s="31" t="n">
        <v>0</v>
      </c>
      <c r="G13" s="31" t="n">
        <v>0</v>
      </c>
      <c r="H13" s="31">
        <f>B13-E13</f>
        <v/>
      </c>
      <c r="I13" s="30" t="inlineStr">
        <is>
          <t>单方差异: 380.65元/㎡</t>
        </is>
      </c>
    </row>
    <row r="14" ht="20" customHeight="1">
      <c r="A14" s="20" t="inlineStr">
        <is>
          <t>安防系统</t>
        </is>
      </c>
      <c r="B14" s="21" t="n">
        <v>21.17</v>
      </c>
      <c r="C14" s="21" t="n">
        <v>30.24803387779794</v>
      </c>
      <c r="D14" s="21" t="n">
        <v>7000</v>
      </c>
      <c r="E14" s="21" t="n">
        <v>53.04</v>
      </c>
      <c r="F14" s="21" t="n">
        <v>34.59105380031153</v>
      </c>
      <c r="G14" s="21" t="n">
        <v>15334.85</v>
      </c>
      <c r="H14" s="21">
        <f>B14-E14</f>
        <v/>
      </c>
      <c r="I14" s="20" t="inlineStr">
        <is>
          <t>含量影响: -4.85元/㎡；配置影响: -27.02元/㎡</t>
        </is>
      </c>
    </row>
    <row r="15" ht="20" customHeight="1">
      <c r="A15" s="30" t="inlineStr">
        <is>
          <t>电梯工程</t>
        </is>
      </c>
      <c r="B15" s="31" t="n">
        <v>379.64</v>
      </c>
      <c r="C15" s="31" t="n">
        <v>30.24803387779794</v>
      </c>
      <c r="D15" s="31" t="n">
        <v>94407.89999999999</v>
      </c>
      <c r="E15" s="31" t="n">
        <v>225.4</v>
      </c>
      <c r="F15" s="31" t="n">
        <v>19.21725211128419</v>
      </c>
      <c r="G15" s="31" t="n">
        <v>93250</v>
      </c>
      <c r="H15" s="31">
        <f>B15-E15</f>
        <v/>
      </c>
      <c r="I15" s="30" t="inlineStr">
        <is>
          <t>含量影响: 103.50元/㎡；配置影响: 2.86元/㎡</t>
        </is>
      </c>
    </row>
    <row r="16" ht="22" customHeight="1">
      <c r="A16" s="22" t="inlineStr">
        <is>
          <t>弹性成本合计</t>
        </is>
      </c>
      <c r="B16" s="32" t="n">
        <v>2962.94</v>
      </c>
      <c r="C16" s="33" t="inlineStr"/>
      <c r="D16" s="33" t="inlineStr"/>
      <c r="E16" s="32" t="n">
        <v>2659.07</v>
      </c>
      <c r="F16" s="33" t="inlineStr"/>
      <c r="G16" s="33" t="inlineStr"/>
      <c r="H16" s="32" t="n">
        <v>303.87</v>
      </c>
      <c r="I16" s="33" t="inlineStr"/>
    </row>
    <row r="17" ht="25" customHeight="1">
      <c r="A17" s="25" t="inlineStr">
        <is>
          <t>洋房 VS 小高层</t>
        </is>
      </c>
      <c r="B17" s="26" t="n"/>
      <c r="C17" s="26" t="n"/>
      <c r="D17" s="26" t="n"/>
      <c r="E17" s="26" t="n"/>
      <c r="F17" s="26" t="n"/>
      <c r="G17" s="26" t="n"/>
      <c r="H17" s="26" t="n"/>
      <c r="I17" s="26" t="n"/>
    </row>
    <row r="18" ht="20" customHeight="1">
      <c r="A18" s="30" t="inlineStr">
        <is>
          <t>入户门工程</t>
        </is>
      </c>
      <c r="B18" s="31" t="n">
        <v>110.96</v>
      </c>
      <c r="C18" s="31" t="n">
        <v>41.92894092736335</v>
      </c>
      <c r="D18" s="31" t="n">
        <v>26463.8213</v>
      </c>
      <c r="E18" s="31" t="n">
        <v>91.48999999999999</v>
      </c>
      <c r="F18" s="31" t="n">
        <v>26.45653977061465</v>
      </c>
      <c r="G18" s="31" t="n">
        <v>34581.24183783784</v>
      </c>
      <c r="H18" s="31">
        <f>B18-E18</f>
        <v/>
      </c>
      <c r="I18" s="30" t="inlineStr">
        <is>
          <t>含量影响: 47.23元/㎡；配置影响: -27.76元/㎡</t>
        </is>
      </c>
    </row>
    <row r="19" ht="20" customHeight="1">
      <c r="A19" s="20" t="inlineStr">
        <is>
          <t>外立面门窗工程</t>
        </is>
      </c>
      <c r="B19" s="21" t="n">
        <v>561</v>
      </c>
      <c r="C19" s="21" t="n">
        <v>0.22</v>
      </c>
      <c r="D19" s="21" t="n">
        <v>2500</v>
      </c>
      <c r="E19" s="21" t="n">
        <v>828</v>
      </c>
      <c r="F19" s="21" t="n">
        <v>0.46</v>
      </c>
      <c r="G19" s="21" t="n">
        <v>1800</v>
      </c>
      <c r="H19" s="21">
        <f>B19-E19</f>
        <v/>
      </c>
      <c r="I19" s="20" t="inlineStr">
        <is>
          <t>含量影响: -516.00元/㎡；配置影响: 238.00元/㎡</t>
        </is>
      </c>
    </row>
    <row r="20" ht="20" customHeight="1">
      <c r="A20" s="30" t="inlineStr">
        <is>
          <t>外立面装饰工程</t>
        </is>
      </c>
      <c r="B20" s="31" t="n">
        <v>1384.89</v>
      </c>
      <c r="C20" s="31" t="n">
        <v>0</v>
      </c>
      <c r="D20" s="31" t="n">
        <v>0</v>
      </c>
      <c r="E20" s="31" t="n">
        <v>936.85</v>
      </c>
      <c r="F20" s="31" t="n">
        <v>0</v>
      </c>
      <c r="G20" s="31" t="n">
        <v>0</v>
      </c>
      <c r="H20" s="31">
        <f>B20-E20</f>
        <v/>
      </c>
      <c r="I20" s="30" t="inlineStr">
        <is>
          <t>单方差异: 448.04元/㎡</t>
        </is>
      </c>
    </row>
    <row r="21" ht="20" customHeight="1">
      <c r="A21" s="20" t="inlineStr">
        <is>
          <t>栏杆工程</t>
        </is>
      </c>
      <c r="B21" s="21" t="n">
        <v>28.99</v>
      </c>
      <c r="C21" s="21" t="n">
        <v>0</v>
      </c>
      <c r="D21" s="21" t="n">
        <v>0</v>
      </c>
      <c r="E21" s="21" t="n">
        <v>19.46</v>
      </c>
      <c r="F21" s="21" t="n">
        <v>0</v>
      </c>
      <c r="G21" s="21" t="n">
        <v>0</v>
      </c>
      <c r="H21" s="21">
        <f>B21-E21</f>
        <v/>
      </c>
      <c r="I21" s="20" t="inlineStr">
        <is>
          <t>单方差异: 9.53元/㎡</t>
        </is>
      </c>
    </row>
    <row r="22" ht="20" customHeight="1">
      <c r="A22" s="30" t="inlineStr">
        <is>
          <t>公共部位装饰工程</t>
        </is>
      </c>
      <c r="B22" s="31" t="n">
        <v>802.58</v>
      </c>
      <c r="C22" s="31" t="n">
        <v>0</v>
      </c>
      <c r="D22" s="31" t="n">
        <v>0</v>
      </c>
      <c r="E22" s="31" t="n">
        <v>1004.08</v>
      </c>
      <c r="F22" s="31" t="n">
        <v>0</v>
      </c>
      <c r="G22" s="31" t="n">
        <v>0</v>
      </c>
      <c r="H22" s="31">
        <f>B22-E22</f>
        <v/>
      </c>
      <c r="I22" s="30" t="inlineStr">
        <is>
          <t>单方差异: -201.50元/㎡</t>
        </is>
      </c>
    </row>
    <row r="23" ht="20" customHeight="1">
      <c r="A23" s="20" t="inlineStr">
        <is>
          <t>安防系统</t>
        </is>
      </c>
      <c r="B23" s="21" t="n">
        <v>29.35</v>
      </c>
      <c r="C23" s="21" t="n">
        <v>41.92894092736335</v>
      </c>
      <c r="D23" s="21" t="n">
        <v>7000</v>
      </c>
      <c r="E23" s="21" t="n">
        <v>14.11</v>
      </c>
      <c r="F23" s="21" t="n">
        <v>26.45653977061465</v>
      </c>
      <c r="G23" s="21" t="n">
        <v>5334.85</v>
      </c>
      <c r="H23" s="21">
        <f>B23-E23</f>
        <v/>
      </c>
      <c r="I23" s="20" t="inlineStr">
        <is>
          <t>含量影响: 9.54元/㎡；配置影响: 5.69元/㎡</t>
        </is>
      </c>
    </row>
    <row r="24" ht="20" customHeight="1">
      <c r="A24" s="30" t="inlineStr">
        <is>
          <t>电梯工程</t>
        </is>
      </c>
      <c r="B24" s="31" t="n">
        <v>85.02</v>
      </c>
      <c r="C24" s="31" t="n">
        <v>7.055350636815949</v>
      </c>
      <c r="D24" s="31" t="n">
        <v>89407.89999999999</v>
      </c>
      <c r="E24" s="31" t="n">
        <v>61.58</v>
      </c>
      <c r="F24" s="31" t="n">
        <v>3.575208077110088</v>
      </c>
      <c r="G24" s="31" t="n">
        <v>144689.3</v>
      </c>
      <c r="H24" s="31">
        <f>B24-E24</f>
        <v/>
      </c>
      <c r="I24" s="30" t="inlineStr">
        <is>
          <t>含量影响: 40.73元/㎡；配置影响: -29.38元/㎡</t>
        </is>
      </c>
    </row>
    <row r="25" ht="22" customHeight="1">
      <c r="A25" s="22" t="inlineStr">
        <is>
          <t>弹性成本合计</t>
        </is>
      </c>
      <c r="B25" s="32" t="n">
        <v>3002.79</v>
      </c>
      <c r="C25" s="33" t="inlineStr"/>
      <c r="D25" s="33" t="inlineStr"/>
      <c r="E25" s="32" t="n">
        <v>2955.57</v>
      </c>
      <c r="F25" s="33" t="inlineStr"/>
      <c r="G25" s="33" t="inlineStr"/>
      <c r="H25" s="32" t="n">
        <v>47.22000000000008</v>
      </c>
      <c r="I25" s="33" t="inlineStr"/>
    </row>
    <row r="26" ht="25" customHeight="1">
      <c r="A26" s="25" t="inlineStr">
        <is>
          <t>其他公共配套 VS 其他公共配套</t>
        </is>
      </c>
      <c r="B26" s="26" t="n"/>
      <c r="C26" s="26" t="n"/>
      <c r="D26" s="26" t="n"/>
      <c r="E26" s="26" t="n"/>
      <c r="F26" s="26" t="n"/>
      <c r="G26" s="26" t="n"/>
      <c r="H26" s="26" t="n"/>
      <c r="I26" s="26" t="n"/>
    </row>
    <row r="27" ht="20" customHeight="1">
      <c r="A27" s="30" t="inlineStr">
        <is>
          <t>入户门工程</t>
        </is>
      </c>
      <c r="B27" s="31" t="n">
        <v>0</v>
      </c>
      <c r="C27" s="31" t="n">
        <v>0</v>
      </c>
      <c r="D27" s="31" t="n">
        <v>0</v>
      </c>
      <c r="E27" s="31" t="n">
        <v>0</v>
      </c>
      <c r="F27" s="31" t="n">
        <v>17.21081527631964</v>
      </c>
      <c r="G27" s="31" t="n">
        <v>0</v>
      </c>
      <c r="H27" s="31">
        <f>B27-E27</f>
        <v/>
      </c>
      <c r="I27" s="30" t="inlineStr"/>
    </row>
    <row r="28" ht="20" customHeight="1">
      <c r="A28" s="20" t="inlineStr">
        <is>
          <t>外立面门窗工程</t>
        </is>
      </c>
      <c r="B28" s="21" t="n">
        <v>120</v>
      </c>
      <c r="C28" s="21" t="n">
        <v>0.1</v>
      </c>
      <c r="D28" s="21" t="n">
        <v>1200</v>
      </c>
      <c r="E28" s="21" t="n">
        <v>285</v>
      </c>
      <c r="F28" s="21" t="n">
        <v>0.3</v>
      </c>
      <c r="G28" s="21" t="n">
        <v>950</v>
      </c>
      <c r="H28" s="21">
        <f>B28-E28</f>
        <v/>
      </c>
      <c r="I28" s="20" t="inlineStr">
        <is>
          <t>含量影响: -215.00元/㎡；配置影响: 50.00元/㎡</t>
        </is>
      </c>
    </row>
    <row r="29" ht="20" customHeight="1">
      <c r="A29" s="30" t="inlineStr">
        <is>
          <t>外立面装饰工程</t>
        </is>
      </c>
      <c r="B29" s="31" t="n">
        <v>0</v>
      </c>
      <c r="C29" s="31" t="n">
        <v>0</v>
      </c>
      <c r="D29" s="31" t="n">
        <v>0</v>
      </c>
      <c r="E29" s="31" t="n">
        <v>13312</v>
      </c>
      <c r="F29" s="31" t="n">
        <v>0</v>
      </c>
      <c r="G29" s="31" t="n">
        <v>0</v>
      </c>
      <c r="H29" s="31">
        <f>B29-E29</f>
        <v/>
      </c>
      <c r="I29" s="30" t="inlineStr">
        <is>
          <t>单方差异: -13312.00元/㎡</t>
        </is>
      </c>
    </row>
    <row r="30" ht="20" customHeight="1">
      <c r="A30" s="20" t="inlineStr">
        <is>
          <t>安防系统</t>
        </is>
      </c>
      <c r="B30" s="21" t="n">
        <v>0</v>
      </c>
      <c r="C30" s="21" t="n">
        <v>0</v>
      </c>
      <c r="D30" s="21" t="n">
        <v>0</v>
      </c>
      <c r="E30" s="21" t="n">
        <v>0</v>
      </c>
      <c r="F30" s="21" t="n">
        <v>17.21081527631964</v>
      </c>
      <c r="G30" s="21" t="n">
        <v>0</v>
      </c>
      <c r="H30" s="21">
        <f>B30-E30</f>
        <v/>
      </c>
      <c r="I30" s="20" t="inlineStr"/>
    </row>
    <row r="31" ht="20" customHeight="1">
      <c r="A31" s="30" t="inlineStr">
        <is>
          <t>电梯工程</t>
        </is>
      </c>
      <c r="B31" s="31" t="n">
        <v>0</v>
      </c>
      <c r="C31" s="31" t="n">
        <v>0</v>
      </c>
      <c r="D31" s="31" t="n">
        <v>0</v>
      </c>
      <c r="E31" s="31" t="n">
        <v>258.16</v>
      </c>
      <c r="F31" s="31" t="n">
        <v>17.21081527631964</v>
      </c>
      <c r="G31" s="31" t="n">
        <v>100000</v>
      </c>
      <c r="H31" s="31">
        <f>B31-E31</f>
        <v/>
      </c>
      <c r="I31" s="30" t="inlineStr">
        <is>
          <t>含量影响: -86.05元/㎡；配置影响: -86.05元/㎡</t>
        </is>
      </c>
    </row>
    <row r="32" ht="22" customHeight="1">
      <c r="A32" s="22" t="inlineStr">
        <is>
          <t>弹性成本合计</t>
        </is>
      </c>
      <c r="B32" s="32" t="n">
        <v>120</v>
      </c>
      <c r="C32" s="33" t="inlineStr"/>
      <c r="D32" s="33" t="inlineStr"/>
      <c r="E32" s="32" t="n">
        <v>13855.16</v>
      </c>
      <c r="F32" s="33" t="inlineStr"/>
      <c r="G32" s="33" t="inlineStr"/>
      <c r="H32" s="32" t="n">
        <v>-13735.16</v>
      </c>
      <c r="I32" s="33" t="inlineStr"/>
    </row>
  </sheetData>
  <mergeCells count="12">
    <mergeCell ref="E2:G2"/>
    <mergeCell ref="H2:I2"/>
    <mergeCell ref="A7"/>
    <mergeCell ref="A25"/>
    <mergeCell ref="A1:I1"/>
    <mergeCell ref="A17:I17"/>
    <mergeCell ref="A16"/>
    <mergeCell ref="A8:I8"/>
    <mergeCell ref="A4:I4"/>
    <mergeCell ref="A26:I26"/>
    <mergeCell ref="B2:D2"/>
    <mergeCell ref="A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2026-05-10T16:59:01Z</dcterms:created>
  <dcterms:modified xmlns:dcterms="http://purl.org/dc/terms/" xmlns:xsi="http://www.w3.org/2001/XMLSchema-instance" xsi:type="dcterms:W3CDTF">2026-05-10T16:59:01Z</dcterms:modified>
</cp:coreProperties>
</file>